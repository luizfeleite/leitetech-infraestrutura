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leitetech-infraestrutura\"/>
    </mc:Choice>
  </mc:AlternateContent>
  <xr:revisionPtr revIDLastSave="0" documentId="13_ncr:1_{48A1A43B-A31F-487F-9146-E6AA5B2256FD}" xr6:coauthVersionLast="47" xr6:coauthVersionMax="47" xr10:uidLastSave="{00000000-0000-0000-0000-000000000000}"/>
  <bookViews>
    <workbookView xWindow="-38520" yWindow="-5475" windowWidth="38640" windowHeight="21120" tabRatio="500" xr2:uid="{00000000-000D-0000-FFFF-FFFF00000000}"/>
  </bookViews>
  <sheets>
    <sheet name="Orçamento" sheetId="1" r:id="rId1"/>
    <sheet name="Conferência" sheetId="2" r:id="rId2"/>
    <sheet name="Comparação" sheetId="3" r:id="rId3"/>
    <sheet name="Fonte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6" i="2" l="1"/>
  <c r="C16" i="2"/>
  <c r="E16" i="2" s="1"/>
  <c r="D15" i="2"/>
  <c r="E15" i="2" s="1"/>
  <c r="E14" i="2"/>
  <c r="D14" i="2"/>
  <c r="C14" i="2"/>
  <c r="D13" i="2"/>
  <c r="C13" i="2"/>
  <c r="E13" i="2" s="1"/>
  <c r="D12" i="2"/>
  <c r="C12" i="2"/>
  <c r="E12" i="2" s="1"/>
  <c r="E11" i="2"/>
  <c r="D11" i="2"/>
  <c r="C11" i="2"/>
  <c r="E10" i="2"/>
  <c r="D10" i="2"/>
  <c r="D9" i="2"/>
  <c r="E9" i="2" s="1"/>
  <c r="E8" i="2"/>
  <c r="D8" i="2"/>
  <c r="C8" i="2"/>
  <c r="D7" i="2"/>
  <c r="C7" i="2"/>
  <c r="E7" i="2" s="1"/>
  <c r="D6" i="2"/>
  <c r="E6" i="2" s="1"/>
  <c r="D5" i="2"/>
  <c r="E5" i="2" s="1"/>
  <c r="C5" i="2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29" i="1" s="1"/>
  <c r="D20" i="3"/>
  <c r="C20" i="3"/>
  <c r="D8" i="3"/>
  <c r="C8" i="3"/>
</calcChain>
</file>

<file path=xl/sharedStrings.xml><?xml version="1.0" encoding="utf-8"?>
<sst xmlns="http://schemas.openxmlformats.org/spreadsheetml/2006/main" count="269" uniqueCount="193">
  <si>
    <t>Item</t>
  </si>
  <si>
    <t>Perfil / uso</t>
  </si>
  <si>
    <t>Qtd</t>
  </si>
  <si>
    <t>Preço unit. (R$)</t>
  </si>
  <si>
    <t>Subtotal (R$)</t>
  </si>
  <si>
    <t>Fornecedor</t>
  </si>
  <si>
    <t>URL da consulta</t>
  </si>
  <si>
    <t>Data da consulta</t>
  </si>
  <si>
    <t>Status do preço</t>
  </si>
  <si>
    <t>AMD Ryzen 5 8500G (100-100000931BOX)</t>
  </si>
  <si>
    <t>OPE – desktops</t>
  </si>
  <si>
    <t>terabyteshop</t>
  </si>
  <si>
    <t>https://www.terabyteshop.com.br/produto/27321/processador-amd-ryzen-5-8500g-35ghz-50ghz-turbo-6-cores-12-threads-am5-com-cooler-amd-wraith-stealth-100-100001491box</t>
  </si>
  <si>
    <t>Confirmado</t>
  </si>
  <si>
    <t>AMD Ryzen 5 8600G (100-100001237BOX)</t>
  </si>
  <si>
    <t>ADM – desktops</t>
  </si>
  <si>
    <t>https://www.terabyteshop.com.br/produto/27326/processador-amd-ryzen-5-8600g-43ghz-50ghz-turbo-6-cores-12-threads-am5-com-cooler-amd-wraith-stealth-100-100001237box</t>
  </si>
  <si>
    <t>AMD Ryzen 7 8700G (100-100001236SBX)</t>
  </si>
  <si>
    <t>ESP – desktops</t>
  </si>
  <si>
    <t>https://www.terabyteshop.com.br/produto/39451/processador-amd-ryzen-7-8700g-42ghz-51ghz-turbo-8-cores-16-threads-am5-100-100001236sbx</t>
  </si>
  <si>
    <t>ASRock B650M-HDV/M.2 (90-MXBLA0-A0UAYZ)</t>
  </si>
  <si>
    <t>Todos os desktops</t>
  </si>
  <si>
    <t>https://www.terabyteshop.com.br/produto/27285/placa-mae-asrock-b650m-hdvm2-chipset-b650-amd-am5-m-atx-ddr5-90-mxbla0-a0uayz</t>
  </si>
  <si>
    <t>Kingston FURY Beast 16 GB (2×8) DDR5-5600 (KF556C40BBK2-16)</t>
  </si>
  <si>
    <t>OPE e ADM</t>
  </si>
  <si>
    <t>https://www.terabyteshop.com.br/produto/23965/memoria-ddr5-kingston-fury-beast-16gb-2x8gb-5600mhz-black-kf556c40bbk2-16</t>
  </si>
  <si>
    <t>Kingston FURY Beast RGB 32 GB (2×16) DDR5-5600 CL36, branco (KF556C36BWEAK2-32)</t>
  </si>
  <si>
    <t>ESP</t>
  </si>
  <si>
    <t>kabum</t>
  </si>
  <si>
    <t>https://www.kabum.com.br/produto/448302/memoria-ram-kingston-fury-beast-rgb-32gb-2x16gb-5600mhz-ddr5-cl36-branco-kf556c36bweak2-32</t>
  </si>
  <si>
    <t>Kingston NV3 500 GB (SNV3S/500G)</t>
  </si>
  <si>
    <t>https://www.kabum.com.br/produto/632571/ssd-500gb-m-2-nvme-pcie-4-5000mb-s-leit-3000mb-s-grav-nv3-snv3s-500g-kingston</t>
  </si>
  <si>
    <t>Kingston NV3 1 TB (SNV3S/1000G)</t>
  </si>
  <si>
    <t>https://www.kabum.com.br/produto/621162/ssd-kingston-nv3-1-tb-m-2-2280-pcie-4-0-x4-nvme-leitura-6000-mb-s-gravacao-4000-mb-s-azul-snv3s-1000g</t>
  </si>
  <si>
    <t>Fonte Corsair CX650 650 W 80 Plus Bronze (CP-9020278-BR)</t>
  </si>
  <si>
    <t>https://www.terabyteshop.com.br/produto/28116/fonte-corsair-cx650-650w-80-plus-bronze-pfc-ativo-atx-cp-9020278-br</t>
  </si>
  <si>
    <t>Gabinete Cooler Master MasterBox Q300L</t>
  </si>
  <si>
    <t>https://www.kabum.com.br/produto/903460/gabinete-gamer-cooler-master-masterbox-q300l-vidro-temperado-painel-modular-micro-atx-preto</t>
  </si>
  <si>
    <t>Notebook Lenovo ThinkPad E14 Gen 7 (AMD Ryzen 5 220, 16 GB, SSD 512 GB) (21T10016BO)</t>
  </si>
  <si>
    <t>ADM – notebooks</t>
  </si>
  <si>
    <t>https://www.kabum.com.br/produto/1004449/notebook-lenovo-thinkpad-e14-amd-g7-amd-ryzen-5-220-16gb-512gb-ssd-windows-11-pro-14-21t10016bo-preto</t>
  </si>
  <si>
    <t>Notebook Lenovo ThinkPad E14 Gen 7 (AMD Ryzen 7 250, 32 GB, SSD 1 TB) (21T1000TBO)</t>
  </si>
  <si>
    <t>ESP – notebook (TI)</t>
  </si>
  <si>
    <t>https://www.kabum.com.br/produto/1004442/notebook-lenovo-thinkpad-e14-amd-g7-amd-ryzen-7-250-32gb-1tb-ssd-windows-11-pro-14-21t1000tbo-preto</t>
  </si>
  <si>
    <t>Monitor Rise Mode Essential 32" Full HD IPS 100 Hz (RM-MOG-32F100FH-B)</t>
  </si>
  <si>
    <t>Todos os postos (ESP: 2 por posto)</t>
  </si>
  <si>
    <t>https://www.terabyteshop.com.br/produto/40985/monitor-rise-mode-essential-32-pol-full-hd-ips-100hz-99-srgb-hdmivga-freesync-rm-mog-32f100fh-b</t>
  </si>
  <si>
    <t>Teclado + mouse Logitech MK270 (combo sem fio)</t>
  </si>
  <si>
    <t>Todos os postos</t>
  </si>
  <si>
    <t>https://www.kabum.com.br/produto/35990/combo-teclado-e-mouse-sem-fio-logitech-mk270-com-teclas-de-midia-de-facil-acesso-conexao-usb-pilhas-inclusas-e-layout-abnt2-920-004433</t>
  </si>
  <si>
    <t>Headset Logitech H390 USB-C (981-001575)</t>
  </si>
  <si>
    <t>OPE e ADM-desktop</t>
  </si>
  <si>
    <t>https://www.kabum.com.br/produto/944493/headset-logitech-h390-controles-de-audio-integrado-microfone-com-reducao-de-ruido-usb-c-preto-981-001575</t>
  </si>
  <si>
    <t>Webcam Logitech C270 HD</t>
  </si>
  <si>
    <t>https://www.kabum.com.br/produto/37697/webcam-hd-logitech-c270-720p-30-fps-microfone-integrado-usb-2-0-960-000694</t>
  </si>
  <si>
    <t>Mesa digitalizadora Wacom Intuos Small (CTL-4100)</t>
  </si>
  <si>
    <t>ESP – QA e Design</t>
  </si>
  <si>
    <t>https://www.kabum.com.br/produto/520204/mesa-digitalizadora-wacom-ctl-4100-intuos-pequena-preto</t>
  </si>
  <si>
    <t>Servidor Dell PowerEdge R360 (1U, 8×2,5", Xeon E-2436, PERC H355, fonte redundante)</t>
  </si>
  <si>
    <t>Servidor principal</t>
  </si>
  <si>
    <t>dell</t>
  </si>
  <si>
    <t>https://www.dell.com/pt-br/shop/servidores-armazenamento-rede/poweredge-r360/spd/poweredge-r360/pe_r360_18250</t>
  </si>
  <si>
    <t>Memória DDR5 ECC UDIMM 32 GB 4800 MHz (módulo), compatível com Dell PowerEdge R360</t>
  </si>
  <si>
    <t>https://www.kabum.com.br/produto/1070303/memoria-32gb-ddr5-para-dell-t160-r260-t360-r360</t>
  </si>
  <si>
    <t>SSD Kingston DC600M 1,92 TB (SEDC600M/1920G)</t>
  </si>
  <si>
    <t>https://www.kabum.com.br/produto/459937/ssd-kingston-dc600m-mixed-use-1-92tb-sata-iii-2-5-leitura-560-mb-s-gravacao-530-mb-s-para-servidor-preto-sedc600m-1920g</t>
  </si>
  <si>
    <t>NAS Synology DS224+ (2 baias)</t>
  </si>
  <si>
    <t>Backup</t>
  </si>
  <si>
    <t>AliExpress</t>
  </si>
  <si>
    <t>https://pt.aliexpress.com/item/1005010133401505.html</t>
  </si>
  <si>
    <t>HDD Seagate IronWolf 8 TB 7200 rpm (ST8000VN004)</t>
  </si>
  <si>
    <t>https://www.kabum.com.br/produto/163083/hd-seagate-8tb-ironwolf-nas-7200-rpm-cache-256mb-sata-3-st8000vn004</t>
  </si>
  <si>
    <t>Nobreak APC Smart-UPS RT SURTA1500XL-BR (1500 VA / 1050 W)</t>
  </si>
  <si>
    <t>Sala de servidores</t>
  </si>
  <si>
    <t>https://www.kabum.com.br/produto/323880/nobreak-apc-smart-ups-1500va-mono-110v-surta1500xl-br</t>
  </si>
  <si>
    <t>Cabo Adaptador Conversor Displayport Para HDMI</t>
  </si>
  <si>
    <t>ESP – desktops (2º monitor)</t>
  </si>
  <si>
    <t>https://www.kabum.com.br/produto/689091/cabo-adaptador-conversor-displayport-para-hdmi</t>
  </si>
  <si>
    <t>TOTAL (soma dos itens com preço informado)</t>
  </si>
  <si>
    <t>Verificação</t>
  </si>
  <si>
    <t>Esperado</t>
  </si>
  <si>
    <t>Encontrado</t>
  </si>
  <si>
    <t>Resultado</t>
  </si>
  <si>
    <t>CPUs = desktops (10 + 11 + 19)</t>
  </si>
  <si>
    <t>Placas-mãe = desktops</t>
  </si>
  <si>
    <t>Kits de memória = desktops (21 + 19)</t>
  </si>
  <si>
    <t>SSDs = desktops (21 + 19)</t>
  </si>
  <si>
    <t>Fontes = desktops</t>
  </si>
  <si>
    <t>Gabinetes = desktops</t>
  </si>
  <si>
    <t>Notebooks (9 + 1)</t>
  </si>
  <si>
    <t>Monitores (10 + 11 + 9 + 38 + 2)</t>
  </si>
  <si>
    <t>Teclado + mouse = postos (40 + 10)</t>
  </si>
  <si>
    <t>Headsets (10 OPE + 11 ADM)</t>
  </si>
  <si>
    <t>Webcams (11 ADM-desktop)</t>
  </si>
  <si>
    <t>Desktops + notebooks = funcionários</t>
  </si>
  <si>
    <t>Critério</t>
  </si>
  <si>
    <t>Opção A (escolhida)</t>
  </si>
  <si>
    <t>Opção B (descartada)</t>
  </si>
  <si>
    <t>PERFIL ESP (desktop) — 19 unidades</t>
  </si>
  <si>
    <t>AMD Ryzen 7 8700G + 32 GB DDR5 + vídeo integrado Radeon 780M</t>
  </si>
  <si>
    <t>Intel Core i7-14700 + cooler PCYES + placa MSI PRO B760M-P DDR5 + 32 GB + vídeo integrado UHD 770</t>
  </si>
  <si>
    <t>Desempenho</t>
  </si>
  <si>
    <t>8 núcleos / 16 threads: suficiente para IDE, Git, Docker e algumas VMs</t>
  </si>
  <si>
    <t>20 núcleos / 28 threads (anúncio da Terabyte): mais desempenho em multitarefa pesada</t>
  </si>
  <si>
    <t>Compatibilidade</t>
  </si>
  <si>
    <t>Usa a mesma placa-mãe AM5 dos outros perfis</t>
  </si>
  <si>
    <t>Exigiria outra placa (LGA1700) e outra plataforma só para o ESP; o processador não traz cooler</t>
  </si>
  <si>
    <t>Custo</t>
  </si>
  <si>
    <t>Consumo</t>
  </si>
  <si>
    <t>TDP de 65 W</t>
  </si>
  <si>
    <t>Base de 65 W, mas até 219 W em turbo (ficha técnica): pede fonte e ventilação maiores</t>
  </si>
  <si>
    <t>Garantia</t>
  </si>
  <si>
    <t>Garantia de loja (36 meses em listagens consultadas do 8500G; conferir a do 8700G)</t>
  </si>
  <si>
    <t>48 meses no anúncio do i7-14700 (Terabyte); placa MSI com 36 meses</t>
  </si>
  <si>
    <t>Manutenção</t>
  </si>
  <si>
    <t>Peças padronizadas entre os 3 perfis: um estoque de reposição só</t>
  </si>
  <si>
    <t>Duas plataformas para manter</t>
  </si>
  <si>
    <t>Expansão</t>
  </si>
  <si>
    <t>Soquete AM5 aceita troca de CPU no futuro</t>
  </si>
  <si>
    <t>LGA1700 é fim de ciclo: sem upgrade de CPU</t>
  </si>
  <si>
    <t>Decisão</t>
  </si>
  <si>
    <t>Opção A: custa cerca de R$ 8.509,94 por posto contra R$ 9.304,93 da B (9% a mais, já contando o cooler do combo). Atende a carga real do ESP sem excesso, usa a mesma placa dos outros perfis e preserva a possibilidade de upgrade. A opção B só se justificaria se o Desenvolvimento rodasse cargas muito mais pesadas. (Preços de 13/10/2026.)</t>
  </si>
  <si>
    <t>SERVIDOR PRINCIPAL</t>
  </si>
  <si>
    <t>Dell PowerEdge R360 (Xeon E-2436, 64 GB ECC, PERC H355, RAID 10, fonte redundante)</t>
  </si>
  <si>
    <t>Servidor montado com peças de desktop (Ryzen 7 8700G, 64 GB DDR5 sem ECC, 4 SSDs, RAID por software)</t>
  </si>
  <si>
    <t>Confiabilidade</t>
  </si>
  <si>
    <t>Memória ECC corrige erros; componentes de classe servidor</t>
  </si>
  <si>
    <t>Sem ECC: erro de memória pode corromper dados sem aviso</t>
  </si>
  <si>
    <t>Energia</t>
  </si>
  <si>
    <t>Duas fontes hot-swap redundantes</t>
  </si>
  <si>
    <t>Fonte única: se queimar, o servidor para</t>
  </si>
  <si>
    <t>Armazenamento</t>
  </si>
  <si>
    <t>Controladora RAID por hardware; 8 baias hot-plug (4 livres)</t>
  </si>
  <si>
    <t>RAID por software; troca de disco exige desligar</t>
  </si>
  <si>
    <t>Suporte e garantia</t>
  </si>
  <si>
    <t>Suporte do fabricante (nível a confirmar na cotação)</t>
  </si>
  <si>
    <t>Garantia de loja por peça, sem suporte integrado</t>
  </si>
  <si>
    <t>Até 128 GB de RAM e mais 4 baias de disco</t>
  </si>
  <si>
    <t>Limitada: a placa tem 2 slots de memória, então 64 GB já é o máximo (2 módulos de 32 GB)</t>
  </si>
  <si>
    <t>Rack 1U padronizado, fácil de substituir</t>
  </si>
  <si>
    <t>Montagem própria: depende de quem montou</t>
  </si>
  <si>
    <t>Opção A, mesmo custando mais (R$ 61.995,96 contra R$ 41.059,91 da B, cerca de 51% a mais): o servidor concentra os 6 serviços usados pelos 50 funcionários, e uma falha pararia a empresa. ECC, fonte redundante e troca a quente reduzem esse risco. (Preços de 13/10/2026.)</t>
  </si>
  <si>
    <t>PREÇOS DA OPÇÃO B (lidos em 13/10/2026)</t>
  </si>
  <si>
    <t>Preço (R$, à vista no Pix)</t>
  </si>
  <si>
    <t>Fonte</t>
  </si>
  <si>
    <t>Intel Core i7-14700 + cooler PCYES Frost Pulse (combo da Terabyte; o processador não traz cooler)</t>
  </si>
  <si>
    <t>https://www.terabyteshop.com.br/produto/27110/processador-intel-core-i7-14700-34-ghz-54ghz-turbo-14-geracao-20-cores-28-threads-lga-1700-bx8071514700</t>
  </si>
  <si>
    <t>Placa-mãe MSI PRO B760M-P DDR5 (LGA1700, mATX)</t>
  </si>
  <si>
    <t>https://www.terabyteshop.com.br/produto/31719/placa-mae-msi-pro-b760m-p-ddr5-chipset-b760-intel-lga-1700-matx-ddr5</t>
  </si>
  <si>
    <t>Kit Kingston FURY Beast EXPO 64 GB (2×32 GB) DDR5-6000 CL30, sem ECC (KF560C30BBEK2-64)</t>
  </si>
  <si>
    <t>https://www.kabum.com.br/produto/616570/memoria-ram-kingston-fury-beast-expo-64gb-2x32gb-6000mt-s-ddr5-dimm-cl30-preto-kf560c30bbek2-64</t>
  </si>
  <si>
    <t>URL</t>
  </si>
  <si>
    <t>Observação</t>
  </si>
  <si>
    <t>Ryzen 5 8500G (loja: inclui cooler Wraith Stealth)</t>
  </si>
  <si>
    <t>05/10/2026</t>
  </si>
  <si>
    <t>Preço não lido na página</t>
  </si>
  <si>
    <t>Ryzen 5 8500G (ficha: 65 W, Radeon 740M, PCIe 4)</t>
  </si>
  <si>
    <t>https://galaxus.be/en/s1/product/amd-ryzen-5-8500g-am5-350-ghz-6-core-processors-42390587</t>
  </si>
  <si>
    <t>Loja europeia: só ficha técnica</t>
  </si>
  <si>
    <t>Ryzen 5 8600G (especificações)</t>
  </si>
  <si>
    <t>https://galaxus.fr/en/s1/product/amd-ryzen-5-8600g-am5-430-ghz-6-core-processors-42390586</t>
  </si>
  <si>
    <t>01/10/2026</t>
  </si>
  <si>
    <t>ASRock B650M-HDV/M.2</t>
  </si>
  <si>
    <t>https://www.kabum.com.br/produto/525050/placa-mae-asrock-b650m-hdv-m-2-amd-b650-matx-ddr5-preto-90-mxbla-</t>
  </si>
  <si>
    <t>Dell PowerEdge R360 (análise)</t>
  </si>
  <si>
    <t>https://www.storagereview.com/review/dell-poweredge-r360-server-review</t>
  </si>
  <si>
    <t>02/10/2026</t>
  </si>
  <si>
    <t>ASRock B650M-HDV/M.2 (página oficial)</t>
  </si>
  <si>
    <t>https://www.asrock.com/mb/AMD/B650M-HDVM.2/index.asp</t>
  </si>
  <si>
    <t>13/10/2026</t>
  </si>
  <si>
    <t>Suporta Ryzen 9000, 8000 e 7000; HDMI e DisplayPort; USB-C traseira; BIOS Flashback</t>
  </si>
  <si>
    <t>APC SURTA1500XL (ficha técnica: 1500 VA / 1050 W, dupla conversão)</t>
  </si>
  <si>
    <t>https://icecat.fr/amp/p/vendorName/mpn/desc-1112790.html</t>
  </si>
  <si>
    <t>12/10/2026</t>
  </si>
  <si>
    <t>Ficha de catálogo (Icecat)</t>
  </si>
  <si>
    <t>APC SURTA1500XL (autonomia: 22,2 min a 525 W, 8,6 min a 1050 W)</t>
  </si>
  <si>
    <t>https://ubbthreads.com/store/item/APC-Smart-UPS-RT-1500VA-1050W-Tower-Double-Conversion-Online-SURTA1500XL-Re-_354540225141.html</t>
  </si>
  <si>
    <t>Valores típicos do fabricante em loja de revenda</t>
  </si>
  <si>
    <t>Gabinete Cooler Master Q300L (ficha)</t>
  </si>
  <si>
    <t>Aceita Micro-ATX e Mini-ITX; fonte até 160 mm; cooler até 159 mm</t>
  </si>
  <si>
    <t>Corsair CX650 na Terabyte</t>
  </si>
  <si>
    <t>R$ 379,99 no Pix; 12 meses de garantia; 22 unidades em estoque</t>
  </si>
  <si>
    <t>Corsair CX650 na Kabum (comprimento de 125 mm; 98 unidades)</t>
  </si>
  <si>
    <t>https://www.kabum.com.br/produto/516056/fonte-corsair-cx-series-cx650-650w-80-plus-bronze-com-cabo-preto-cp-9020278-br</t>
  </si>
  <si>
    <t>Alternativa com estoque</t>
  </si>
  <si>
    <t>Memória ECC UDIMM 32 GB DDR5-4800 (Kabum)</t>
  </si>
  <si>
    <t>Ficha: ECC UDIMM; fabricante variável; 12 meses de garantia</t>
  </si>
  <si>
    <t>MSI PRO B760M-P DDR5 (Terabyte)</t>
  </si>
  <si>
    <t>R$ 699,99 no Pix; 36 meses de garantia</t>
  </si>
  <si>
    <t>Intel Core i7-14700 + cooler PCYES (Terabyte)</t>
  </si>
  <si>
    <t>R$ 2.354,98 no combo (Pix)</t>
  </si>
  <si>
    <t>Kingston FURY Beast EXPO 64 GB (Kabum)</t>
  </si>
  <si>
    <t>R$ 9.899,99 no Pix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</si>
</sst>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&quot;R$ &quot;#,##0.00&quot; por posto&quot;"/>
    <numFmt numFmtId="166" formatCode="&quot;R$ &quot;#,##0.00"/>
  </numFmts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ptos Narrow"/>
      <charset val="1"/>
    </font>
    <font>
      <sz val="11"/>
      <name val="Aptos Narrow"/>
      <charset val="1"/>
    </font>
    <font>
      <sz val="11"/>
      <name val="Aptos Narrow"/>
      <family val="2"/>
      <charset val="1"/>
    </font>
    <font>
      <b/>
      <sz val="11"/>
      <name val="Aptos Narrow"/>
      <charset val="1"/>
    </font>
    <font>
      <b/>
      <sz val="10"/>
      <name val="Aptos Narrow"/>
      <charset val="1"/>
    </font>
    <font>
      <i/>
      <sz val="10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rgb="FF0E2841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AF2D0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4" fontId="4" fillId="3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165" fontId="2" fillId="0" borderId="1" xfId="0" applyNumberFormat="1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left" vertical="center" wrapText="1"/>
    </xf>
    <xf numFmtId="166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AF2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E2841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kabum.com.br/produto/621162/ssd-kingston-nv3-1-tb-m-2-2280-pcie-4-0-x4-nvme-leitura-6000-mb-s-gravacao-4000-mb-s-azul-snv3s-1000g" TargetMode="External"/><Relationship Id="rId1" Type="http://schemas.openxmlformats.org/officeDocument/2006/relationships/hyperlink" Target="https://www.terabyteshop.com.br/produto/27321/processador-amd-ryzen-5-8500g-35ghz-50ghz-turbo-6-cores-12-threads-am5-com-cooler-amd-wraith-stealth-100-100001491bo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5"/>
  <sheetViews>
    <sheetView tabSelected="1" zoomScaleNormal="100" workbookViewId="0">
      <selection activeCell="D12" sqref="D12"/>
    </sheetView>
  </sheetViews>
  <sheetFormatPr defaultColWidth="8.7109375" defaultRowHeight="15" x14ac:dyDescent="0.25"/>
  <cols>
    <col min="2" max="2" width="62" customWidth="1"/>
    <col min="3" max="3" width="30" customWidth="1"/>
    <col min="4" max="4" width="7" customWidth="1"/>
    <col min="5" max="6" width="16" customWidth="1"/>
    <col min="7" max="7" width="18" customWidth="1"/>
    <col min="8" max="8" width="40" customWidth="1"/>
    <col min="9" max="10" width="16" customWidth="1"/>
  </cols>
  <sheetData>
    <row r="2" spans="2:10" ht="15" customHeight="1" x14ac:dyDescent="0.25">
      <c r="B2" s="17" t="s">
        <v>0</v>
      </c>
      <c r="C2" s="17" t="s">
        <v>1</v>
      </c>
      <c r="D2" s="17" t="s">
        <v>2</v>
      </c>
      <c r="E2" s="17" t="s">
        <v>3</v>
      </c>
      <c r="F2" s="17" t="s">
        <v>4</v>
      </c>
      <c r="G2" s="17" t="s">
        <v>5</v>
      </c>
      <c r="H2" s="17" t="s">
        <v>6</v>
      </c>
      <c r="I2" s="17" t="s">
        <v>7</v>
      </c>
      <c r="J2" s="17" t="s">
        <v>8</v>
      </c>
    </row>
    <row r="3" spans="2:10" x14ac:dyDescent="0.25">
      <c r="B3" s="17"/>
      <c r="C3" s="17"/>
      <c r="D3" s="17"/>
      <c r="E3" s="17"/>
      <c r="F3" s="17"/>
      <c r="G3" s="17"/>
      <c r="H3" s="17"/>
      <c r="I3" s="17"/>
      <c r="J3" s="17"/>
    </row>
    <row r="4" spans="2:10" x14ac:dyDescent="0.25">
      <c r="B4" s="17"/>
      <c r="C4" s="17"/>
      <c r="D4" s="17"/>
      <c r="E4" s="17"/>
      <c r="F4" s="17"/>
      <c r="G4" s="17"/>
      <c r="H4" s="17"/>
      <c r="I4" s="17"/>
      <c r="J4" s="17"/>
    </row>
    <row r="5" spans="2:10" ht="30" customHeight="1" x14ac:dyDescent="0.25">
      <c r="B5" s="1" t="s">
        <v>9</v>
      </c>
      <c r="C5" s="1" t="s">
        <v>10</v>
      </c>
      <c r="D5" s="2">
        <v>10</v>
      </c>
      <c r="E5" s="3">
        <v>799.99</v>
      </c>
      <c r="F5" s="3">
        <f t="shared" ref="F5:F28" si="0">IF(E5="","",D5*E5)</f>
        <v>7999.9</v>
      </c>
      <c r="G5" s="1" t="s">
        <v>11</v>
      </c>
      <c r="H5" s="1" t="s">
        <v>12</v>
      </c>
      <c r="I5" s="4">
        <v>46307</v>
      </c>
      <c r="J5" s="2" t="s">
        <v>13</v>
      </c>
    </row>
    <row r="6" spans="2:10" ht="30" customHeight="1" x14ac:dyDescent="0.25">
      <c r="B6" s="5" t="s">
        <v>14</v>
      </c>
      <c r="C6" s="1" t="s">
        <v>15</v>
      </c>
      <c r="D6" s="2">
        <v>11</v>
      </c>
      <c r="E6" s="3">
        <v>969.99</v>
      </c>
      <c r="F6" s="3">
        <f t="shared" si="0"/>
        <v>10669.89</v>
      </c>
      <c r="G6" s="1" t="s">
        <v>11</v>
      </c>
      <c r="H6" s="1" t="s">
        <v>16</v>
      </c>
      <c r="I6" s="4">
        <v>46301</v>
      </c>
      <c r="J6" s="2" t="s">
        <v>13</v>
      </c>
    </row>
    <row r="7" spans="2:10" ht="60" customHeight="1" x14ac:dyDescent="0.25">
      <c r="B7" s="5" t="s">
        <v>17</v>
      </c>
      <c r="C7" s="1" t="s">
        <v>18</v>
      </c>
      <c r="D7" s="2">
        <v>19</v>
      </c>
      <c r="E7" s="3">
        <v>1359.99</v>
      </c>
      <c r="F7" s="3">
        <f t="shared" si="0"/>
        <v>25839.81</v>
      </c>
      <c r="G7" s="1" t="s">
        <v>11</v>
      </c>
      <c r="H7" s="1" t="s">
        <v>19</v>
      </c>
      <c r="I7" s="4">
        <v>46301</v>
      </c>
      <c r="J7" s="2" t="s">
        <v>13</v>
      </c>
    </row>
    <row r="8" spans="2:10" ht="15" customHeight="1" x14ac:dyDescent="0.25">
      <c r="B8" s="1" t="s">
        <v>20</v>
      </c>
      <c r="C8" s="1" t="s">
        <v>21</v>
      </c>
      <c r="D8" s="2">
        <v>40</v>
      </c>
      <c r="E8" s="3">
        <v>899.99</v>
      </c>
      <c r="F8" s="3">
        <f t="shared" si="0"/>
        <v>35999.599999999999</v>
      </c>
      <c r="G8" s="1" t="s">
        <v>11</v>
      </c>
      <c r="H8" s="1" t="s">
        <v>22</v>
      </c>
      <c r="I8" s="4">
        <v>46307</v>
      </c>
      <c r="J8" s="2" t="s">
        <v>13</v>
      </c>
    </row>
    <row r="9" spans="2:10" ht="15" customHeight="1" x14ac:dyDescent="0.25">
      <c r="B9" s="1" t="s">
        <v>23</v>
      </c>
      <c r="C9" s="1" t="s">
        <v>24</v>
      </c>
      <c r="D9" s="2">
        <v>21</v>
      </c>
      <c r="E9" s="3">
        <v>2879.9</v>
      </c>
      <c r="F9" s="3">
        <f t="shared" si="0"/>
        <v>60477.9</v>
      </c>
      <c r="G9" s="1" t="s">
        <v>11</v>
      </c>
      <c r="H9" s="1" t="s">
        <v>25</v>
      </c>
      <c r="I9" s="4">
        <v>46301</v>
      </c>
      <c r="J9" s="2" t="s">
        <v>13</v>
      </c>
    </row>
    <row r="10" spans="2:10" ht="30" customHeight="1" x14ac:dyDescent="0.25">
      <c r="B10" s="5" t="s">
        <v>26</v>
      </c>
      <c r="C10" s="1" t="s">
        <v>27</v>
      </c>
      <c r="D10" s="2">
        <v>19</v>
      </c>
      <c r="E10" s="3">
        <v>4149.99</v>
      </c>
      <c r="F10" s="3">
        <f t="shared" si="0"/>
        <v>78849.81</v>
      </c>
      <c r="G10" s="5" t="s">
        <v>28</v>
      </c>
      <c r="H10" s="1" t="s">
        <v>29</v>
      </c>
      <c r="I10" s="4">
        <v>46301</v>
      </c>
      <c r="J10" s="2" t="s">
        <v>13</v>
      </c>
    </row>
    <row r="11" spans="2:10" ht="30" customHeight="1" x14ac:dyDescent="0.25">
      <c r="B11" s="5" t="s">
        <v>30</v>
      </c>
      <c r="C11" s="1" t="s">
        <v>24</v>
      </c>
      <c r="D11" s="2">
        <v>21</v>
      </c>
      <c r="E11" s="3">
        <v>699.99</v>
      </c>
      <c r="F11" s="3">
        <f t="shared" si="0"/>
        <v>14699.79</v>
      </c>
      <c r="G11" s="5" t="s">
        <v>28</v>
      </c>
      <c r="H11" s="1" t="s">
        <v>31</v>
      </c>
      <c r="I11" s="4">
        <v>46301</v>
      </c>
      <c r="J11" s="2" t="s">
        <v>13</v>
      </c>
    </row>
    <row r="12" spans="2:10" ht="15" customHeight="1" x14ac:dyDescent="0.25">
      <c r="B12" s="5" t="s">
        <v>32</v>
      </c>
      <c r="C12" s="1" t="s">
        <v>27</v>
      </c>
      <c r="D12" s="2">
        <v>19</v>
      </c>
      <c r="E12" s="3">
        <v>1199.99</v>
      </c>
      <c r="F12" s="3">
        <f t="shared" si="0"/>
        <v>22799.81</v>
      </c>
      <c r="G12" s="5" t="s">
        <v>28</v>
      </c>
      <c r="H12" s="1" t="s">
        <v>33</v>
      </c>
      <c r="I12" s="4">
        <v>46301</v>
      </c>
      <c r="J12" s="2" t="s">
        <v>13</v>
      </c>
    </row>
    <row r="13" spans="2:10" ht="15" customHeight="1" x14ac:dyDescent="0.25">
      <c r="B13" s="5" t="s">
        <v>34</v>
      </c>
      <c r="C13" s="1" t="s">
        <v>21</v>
      </c>
      <c r="D13" s="2">
        <v>40</v>
      </c>
      <c r="E13" s="3">
        <v>379.99</v>
      </c>
      <c r="F13" s="3">
        <f t="shared" si="0"/>
        <v>15199.6</v>
      </c>
      <c r="G13" s="1" t="s">
        <v>11</v>
      </c>
      <c r="H13" s="1" t="s">
        <v>35</v>
      </c>
      <c r="I13" s="4">
        <v>46308</v>
      </c>
      <c r="J13" s="2" t="s">
        <v>13</v>
      </c>
    </row>
    <row r="14" spans="2:10" ht="60" customHeight="1" x14ac:dyDescent="0.25">
      <c r="B14" s="1" t="s">
        <v>36</v>
      </c>
      <c r="C14" s="1" t="s">
        <v>21</v>
      </c>
      <c r="D14" s="2">
        <v>40</v>
      </c>
      <c r="E14" s="3">
        <v>519.99</v>
      </c>
      <c r="F14" s="3">
        <f t="shared" si="0"/>
        <v>20799.599999999999</v>
      </c>
      <c r="G14" s="5" t="s">
        <v>28</v>
      </c>
      <c r="H14" s="1" t="s">
        <v>37</v>
      </c>
      <c r="I14" s="4">
        <v>46301</v>
      </c>
      <c r="J14" s="2" t="s">
        <v>13</v>
      </c>
    </row>
    <row r="15" spans="2:10" ht="45" customHeight="1" x14ac:dyDescent="0.25">
      <c r="B15" s="1" t="s">
        <v>38</v>
      </c>
      <c r="C15" s="1" t="s">
        <v>39</v>
      </c>
      <c r="D15" s="2">
        <v>9</v>
      </c>
      <c r="E15" s="3">
        <v>7586.1</v>
      </c>
      <c r="F15" s="3">
        <f t="shared" si="0"/>
        <v>68274.900000000009</v>
      </c>
      <c r="G15" s="5" t="s">
        <v>28</v>
      </c>
      <c r="H15" s="1" t="s">
        <v>40</v>
      </c>
      <c r="I15" s="4">
        <v>46307</v>
      </c>
      <c r="J15" s="2" t="s">
        <v>13</v>
      </c>
    </row>
    <row r="16" spans="2:10" ht="60" customHeight="1" x14ac:dyDescent="0.25">
      <c r="B16" s="1" t="s">
        <v>41</v>
      </c>
      <c r="C16" s="1" t="s">
        <v>42</v>
      </c>
      <c r="D16" s="2">
        <v>1</v>
      </c>
      <c r="E16" s="3">
        <v>10367.1</v>
      </c>
      <c r="F16" s="3">
        <f t="shared" si="0"/>
        <v>10367.1</v>
      </c>
      <c r="G16" s="5" t="s">
        <v>28</v>
      </c>
      <c r="H16" s="1" t="s">
        <v>43</v>
      </c>
      <c r="I16" s="4">
        <v>46301</v>
      </c>
      <c r="J16" s="2" t="s">
        <v>13</v>
      </c>
    </row>
    <row r="17" spans="2:10" ht="60" customHeight="1" x14ac:dyDescent="0.25">
      <c r="B17" s="1" t="s">
        <v>44</v>
      </c>
      <c r="C17" s="1" t="s">
        <v>45</v>
      </c>
      <c r="D17" s="2">
        <v>70</v>
      </c>
      <c r="E17" s="3">
        <v>849.99</v>
      </c>
      <c r="F17" s="3">
        <f t="shared" si="0"/>
        <v>59499.3</v>
      </c>
      <c r="G17" s="1" t="s">
        <v>11</v>
      </c>
      <c r="H17" s="1" t="s">
        <v>46</v>
      </c>
      <c r="I17" s="4">
        <v>46301</v>
      </c>
      <c r="J17" s="2" t="s">
        <v>13</v>
      </c>
    </row>
    <row r="18" spans="2:10" ht="75" customHeight="1" x14ac:dyDescent="0.25">
      <c r="B18" s="1" t="s">
        <v>47</v>
      </c>
      <c r="C18" s="1" t="s">
        <v>48</v>
      </c>
      <c r="D18" s="2">
        <v>50</v>
      </c>
      <c r="E18" s="3">
        <v>159.99</v>
      </c>
      <c r="F18" s="3">
        <f t="shared" si="0"/>
        <v>7999.5</v>
      </c>
      <c r="G18" s="5" t="s">
        <v>28</v>
      </c>
      <c r="H18" s="1" t="s">
        <v>49</v>
      </c>
      <c r="I18" s="4">
        <v>46301</v>
      </c>
      <c r="J18" s="2" t="s">
        <v>13</v>
      </c>
    </row>
    <row r="19" spans="2:10" ht="15" customHeight="1" x14ac:dyDescent="0.25">
      <c r="B19" s="1" t="s">
        <v>50</v>
      </c>
      <c r="C19" s="1" t="s">
        <v>51</v>
      </c>
      <c r="D19" s="2">
        <v>21</v>
      </c>
      <c r="E19" s="3">
        <v>199.99</v>
      </c>
      <c r="F19" s="3">
        <f t="shared" si="0"/>
        <v>4199.79</v>
      </c>
      <c r="G19" s="5" t="s">
        <v>28</v>
      </c>
      <c r="H19" s="1" t="s">
        <v>52</v>
      </c>
      <c r="I19" s="4">
        <v>46301</v>
      </c>
      <c r="J19" s="2" t="s">
        <v>13</v>
      </c>
    </row>
    <row r="20" spans="2:10" ht="15" customHeight="1" x14ac:dyDescent="0.25">
      <c r="B20" s="1" t="s">
        <v>53</v>
      </c>
      <c r="C20" s="1" t="s">
        <v>15</v>
      </c>
      <c r="D20" s="2">
        <v>11</v>
      </c>
      <c r="E20" s="3">
        <v>199.99</v>
      </c>
      <c r="F20" s="3">
        <f t="shared" si="0"/>
        <v>2199.8900000000003</v>
      </c>
      <c r="G20" s="5" t="s">
        <v>28</v>
      </c>
      <c r="H20" s="1" t="s">
        <v>54</v>
      </c>
      <c r="I20" s="4">
        <v>46301</v>
      </c>
      <c r="J20" s="2" t="s">
        <v>13</v>
      </c>
    </row>
    <row r="21" spans="2:10" ht="45" customHeight="1" x14ac:dyDescent="0.25">
      <c r="B21" s="1" t="s">
        <v>55</v>
      </c>
      <c r="C21" s="1" t="s">
        <v>56</v>
      </c>
      <c r="D21" s="2">
        <v>3</v>
      </c>
      <c r="E21" s="3">
        <v>393.99</v>
      </c>
      <c r="F21" s="3">
        <f t="shared" si="0"/>
        <v>1181.97</v>
      </c>
      <c r="G21" s="5" t="s">
        <v>28</v>
      </c>
      <c r="H21" s="1" t="s">
        <v>57</v>
      </c>
      <c r="I21" s="4">
        <v>46301</v>
      </c>
      <c r="J21" s="2" t="s">
        <v>13</v>
      </c>
    </row>
    <row r="22" spans="2:10" ht="60" customHeight="1" x14ac:dyDescent="0.25">
      <c r="B22" s="5" t="s">
        <v>58</v>
      </c>
      <c r="C22" s="1" t="s">
        <v>59</v>
      </c>
      <c r="D22" s="2">
        <v>1</v>
      </c>
      <c r="E22" s="3">
        <v>21998</v>
      </c>
      <c r="F22" s="3">
        <f t="shared" si="0"/>
        <v>21998</v>
      </c>
      <c r="G22" s="5" t="s">
        <v>60</v>
      </c>
      <c r="H22" s="1" t="s">
        <v>61</v>
      </c>
      <c r="I22" s="4">
        <v>46301</v>
      </c>
      <c r="J22" s="2" t="s">
        <v>13</v>
      </c>
    </row>
    <row r="23" spans="2:10" ht="15" customHeight="1" x14ac:dyDescent="0.25">
      <c r="B23" s="1" t="s">
        <v>62</v>
      </c>
      <c r="C23" s="1" t="s">
        <v>59</v>
      </c>
      <c r="D23" s="2">
        <v>2</v>
      </c>
      <c r="E23" s="3">
        <v>5999</v>
      </c>
      <c r="F23" s="3">
        <f t="shared" si="0"/>
        <v>11998</v>
      </c>
      <c r="G23" s="5" t="s">
        <v>28</v>
      </c>
      <c r="H23" s="1" t="s">
        <v>63</v>
      </c>
      <c r="I23" s="4">
        <v>46307</v>
      </c>
      <c r="J23" s="2" t="s">
        <v>13</v>
      </c>
    </row>
    <row r="24" spans="2:10" ht="15" customHeight="1" x14ac:dyDescent="0.25">
      <c r="B24" s="5" t="s">
        <v>64</v>
      </c>
      <c r="C24" s="1" t="s">
        <v>59</v>
      </c>
      <c r="D24" s="2">
        <v>4</v>
      </c>
      <c r="E24" s="3">
        <v>6999.99</v>
      </c>
      <c r="F24" s="3">
        <f t="shared" si="0"/>
        <v>27999.96</v>
      </c>
      <c r="G24" s="5" t="s">
        <v>28</v>
      </c>
      <c r="H24" s="1" t="s">
        <v>65</v>
      </c>
      <c r="I24" s="4">
        <v>46301</v>
      </c>
      <c r="J24" s="2" t="s">
        <v>13</v>
      </c>
    </row>
    <row r="25" spans="2:10" ht="85.5" customHeight="1" x14ac:dyDescent="0.25">
      <c r="B25" s="5" t="s">
        <v>66</v>
      </c>
      <c r="C25" s="1" t="s">
        <v>67</v>
      </c>
      <c r="D25" s="2">
        <v>1</v>
      </c>
      <c r="E25" s="3">
        <v>2651.41</v>
      </c>
      <c r="F25" s="3">
        <f t="shared" si="0"/>
        <v>2651.41</v>
      </c>
      <c r="G25" s="1" t="s">
        <v>68</v>
      </c>
      <c r="H25" s="1" t="s">
        <v>69</v>
      </c>
      <c r="I25" s="4">
        <v>46301</v>
      </c>
      <c r="J25" s="2" t="s">
        <v>13</v>
      </c>
    </row>
    <row r="26" spans="2:10" ht="15" customHeight="1" x14ac:dyDescent="0.25">
      <c r="B26" s="1" t="s">
        <v>70</v>
      </c>
      <c r="C26" s="1" t="s">
        <v>67</v>
      </c>
      <c r="D26" s="2">
        <v>2</v>
      </c>
      <c r="E26" s="3">
        <v>2799</v>
      </c>
      <c r="F26" s="3">
        <f t="shared" si="0"/>
        <v>5598</v>
      </c>
      <c r="G26" s="5" t="s">
        <v>28</v>
      </c>
      <c r="H26" s="1" t="s">
        <v>71</v>
      </c>
      <c r="I26" s="4">
        <v>46301</v>
      </c>
      <c r="J26" s="2" t="s">
        <v>13</v>
      </c>
    </row>
    <row r="27" spans="2:10" ht="45" customHeight="1" x14ac:dyDescent="0.25">
      <c r="B27" s="1" t="s">
        <v>72</v>
      </c>
      <c r="C27" s="1" t="s">
        <v>73</v>
      </c>
      <c r="D27" s="2">
        <v>1</v>
      </c>
      <c r="E27" s="3">
        <v>10230.620000000001</v>
      </c>
      <c r="F27" s="3">
        <f t="shared" si="0"/>
        <v>10230.620000000001</v>
      </c>
      <c r="G27" s="5" t="s">
        <v>28</v>
      </c>
      <c r="H27" s="1" t="s">
        <v>74</v>
      </c>
      <c r="I27" s="4">
        <v>46301</v>
      </c>
      <c r="J27" s="2" t="s">
        <v>13</v>
      </c>
    </row>
    <row r="28" spans="2:10" x14ac:dyDescent="0.25">
      <c r="B28" s="5" t="s">
        <v>75</v>
      </c>
      <c r="C28" s="1" t="s">
        <v>76</v>
      </c>
      <c r="D28" s="2">
        <v>19</v>
      </c>
      <c r="E28" s="3">
        <v>116.39</v>
      </c>
      <c r="F28" s="3">
        <f t="shared" si="0"/>
        <v>2211.41</v>
      </c>
      <c r="G28" s="5" t="s">
        <v>28</v>
      </c>
      <c r="H28" t="s">
        <v>77</v>
      </c>
      <c r="I28" s="4">
        <v>46307</v>
      </c>
      <c r="J28" s="2" t="s">
        <v>13</v>
      </c>
    </row>
    <row r="29" spans="2:10" x14ac:dyDescent="0.25">
      <c r="B29" s="6" t="s">
        <v>78</v>
      </c>
      <c r="C29" s="7"/>
      <c r="D29" s="7"/>
      <c r="E29" s="7"/>
      <c r="F29" s="8">
        <f>SUM(F5:F28)</f>
        <v>529745.55999999994</v>
      </c>
      <c r="G29" s="7"/>
      <c r="H29" s="7"/>
      <c r="I29" s="7"/>
      <c r="J29" s="7"/>
    </row>
    <row r="30" spans="2:10" x14ac:dyDescent="0.25">
      <c r="B30" s="9"/>
      <c r="D30" s="10"/>
    </row>
    <row r="32" spans="2:10" x14ac:dyDescent="0.25">
      <c r="B32" s="11"/>
    </row>
    <row r="33" spans="2:2" x14ac:dyDescent="0.25">
      <c r="B33" s="12"/>
    </row>
    <row r="34" spans="2:2" x14ac:dyDescent="0.25">
      <c r="B34" s="12"/>
    </row>
    <row r="35" spans="2:2" x14ac:dyDescent="0.25">
      <c r="B35" s="12"/>
    </row>
  </sheetData>
  <mergeCells count="9">
    <mergeCell ref="G2:G4"/>
    <mergeCell ref="H2:H4"/>
    <mergeCell ref="I2:I4"/>
    <mergeCell ref="J2:J4"/>
    <mergeCell ref="B2:B4"/>
    <mergeCell ref="C2:C4"/>
    <mergeCell ref="D2:D4"/>
    <mergeCell ref="E2:E4"/>
    <mergeCell ref="F2:F4"/>
  </mergeCells>
  <hyperlinks>
    <hyperlink ref="H5" r:id="rId1" xr:uid="{00000000-0004-0000-0000-000000000000}"/>
    <hyperlink ref="H13" r:id="rId2" xr:uid="{00000000-0004-0000-0000-000001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6"/>
  <sheetViews>
    <sheetView zoomScaleNormal="100" workbookViewId="0">
      <selection activeCell="B14" sqref="B14"/>
    </sheetView>
  </sheetViews>
  <sheetFormatPr defaultColWidth="8.7109375" defaultRowHeight="15" x14ac:dyDescent="0.25"/>
  <cols>
    <col min="2" max="2" width="52" customWidth="1"/>
    <col min="3" max="3" width="12" customWidth="1"/>
    <col min="4" max="5" width="13" customWidth="1"/>
  </cols>
  <sheetData>
    <row r="2" spans="2:5" ht="15" customHeight="1" x14ac:dyDescent="0.25">
      <c r="B2" s="17" t="s">
        <v>79</v>
      </c>
      <c r="C2" s="17" t="s">
        <v>80</v>
      </c>
      <c r="D2" s="17" t="s">
        <v>81</v>
      </c>
      <c r="E2" s="17" t="s">
        <v>82</v>
      </c>
    </row>
    <row r="3" spans="2:5" x14ac:dyDescent="0.25">
      <c r="B3" s="17"/>
      <c r="C3" s="17"/>
      <c r="D3" s="17"/>
      <c r="E3" s="17"/>
    </row>
    <row r="4" spans="2:5" x14ac:dyDescent="0.25">
      <c r="B4" s="17"/>
      <c r="C4" s="17"/>
      <c r="D4" s="17"/>
      <c r="E4" s="17"/>
    </row>
    <row r="5" spans="2:5" x14ac:dyDescent="0.25">
      <c r="B5" s="1" t="s">
        <v>83</v>
      </c>
      <c r="C5" s="2">
        <f>10+11+19</f>
        <v>40</v>
      </c>
      <c r="D5" s="2">
        <f>Orçamento!D5+Orçamento!D6+Orçamento!D7</f>
        <v>40</v>
      </c>
      <c r="E5" s="2" t="str">
        <f t="shared" ref="E5:E16" si="0">IF(C5=D5,"OK","REVISAR")</f>
        <v>OK</v>
      </c>
    </row>
    <row r="6" spans="2:5" x14ac:dyDescent="0.25">
      <c r="B6" s="1" t="s">
        <v>84</v>
      </c>
      <c r="C6" s="2">
        <v>40</v>
      </c>
      <c r="D6" s="2">
        <f>Orçamento!D8</f>
        <v>40</v>
      </c>
      <c r="E6" s="2" t="str">
        <f t="shared" si="0"/>
        <v>OK</v>
      </c>
    </row>
    <row r="7" spans="2:5" x14ac:dyDescent="0.25">
      <c r="B7" s="1" t="s">
        <v>85</v>
      </c>
      <c r="C7" s="2">
        <f>21+19</f>
        <v>40</v>
      </c>
      <c r="D7" s="2">
        <f>Orçamento!D9+Orçamento!D10</f>
        <v>40</v>
      </c>
      <c r="E7" s="2" t="str">
        <f t="shared" si="0"/>
        <v>OK</v>
      </c>
    </row>
    <row r="8" spans="2:5" x14ac:dyDescent="0.25">
      <c r="B8" s="1" t="s">
        <v>86</v>
      </c>
      <c r="C8" s="2">
        <f>21+19</f>
        <v>40</v>
      </c>
      <c r="D8" s="2">
        <f>Orçamento!D11+Orçamento!D12</f>
        <v>40</v>
      </c>
      <c r="E8" s="2" t="str">
        <f t="shared" si="0"/>
        <v>OK</v>
      </c>
    </row>
    <row r="9" spans="2:5" x14ac:dyDescent="0.25">
      <c r="B9" s="1" t="s">
        <v>87</v>
      </c>
      <c r="C9" s="2">
        <v>40</v>
      </c>
      <c r="D9" s="2">
        <f>Orçamento!D13</f>
        <v>40</v>
      </c>
      <c r="E9" s="2" t="str">
        <f t="shared" si="0"/>
        <v>OK</v>
      </c>
    </row>
    <row r="10" spans="2:5" x14ac:dyDescent="0.25">
      <c r="B10" s="1" t="s">
        <v>88</v>
      </c>
      <c r="C10" s="2">
        <v>40</v>
      </c>
      <c r="D10" s="2">
        <f>Orçamento!D14</f>
        <v>40</v>
      </c>
      <c r="E10" s="2" t="str">
        <f t="shared" si="0"/>
        <v>OK</v>
      </c>
    </row>
    <row r="11" spans="2:5" x14ac:dyDescent="0.25">
      <c r="B11" s="1" t="s">
        <v>89</v>
      </c>
      <c r="C11" s="2">
        <f>9+1</f>
        <v>10</v>
      </c>
      <c r="D11" s="2">
        <f>Orçamento!D15+Orçamento!D16</f>
        <v>10</v>
      </c>
      <c r="E11" s="2" t="str">
        <f t="shared" si="0"/>
        <v>OK</v>
      </c>
    </row>
    <row r="12" spans="2:5" x14ac:dyDescent="0.25">
      <c r="B12" s="1" t="s">
        <v>90</v>
      </c>
      <c r="C12" s="2">
        <f>10+11+9+38+2</f>
        <v>70</v>
      </c>
      <c r="D12" s="2">
        <f>Orçamento!D17</f>
        <v>70</v>
      </c>
      <c r="E12" s="2" t="str">
        <f t="shared" si="0"/>
        <v>OK</v>
      </c>
    </row>
    <row r="13" spans="2:5" x14ac:dyDescent="0.25">
      <c r="B13" s="1" t="s">
        <v>91</v>
      </c>
      <c r="C13" s="2">
        <f>40+10</f>
        <v>50</v>
      </c>
      <c r="D13" s="2">
        <f>Orçamento!D18</f>
        <v>50</v>
      </c>
      <c r="E13" s="2" t="str">
        <f t="shared" si="0"/>
        <v>OK</v>
      </c>
    </row>
    <row r="14" spans="2:5" x14ac:dyDescent="0.25">
      <c r="B14" s="1" t="s">
        <v>92</v>
      </c>
      <c r="C14" s="2">
        <f>10+11</f>
        <v>21</v>
      </c>
      <c r="D14" s="2">
        <f>Orçamento!D19</f>
        <v>21</v>
      </c>
      <c r="E14" s="2" t="str">
        <f t="shared" si="0"/>
        <v>OK</v>
      </c>
    </row>
    <row r="15" spans="2:5" x14ac:dyDescent="0.25">
      <c r="B15" s="1" t="s">
        <v>93</v>
      </c>
      <c r="C15" s="2">
        <v>11</v>
      </c>
      <c r="D15" s="2">
        <f>Orçamento!D20</f>
        <v>11</v>
      </c>
      <c r="E15" s="2" t="str">
        <f t="shared" si="0"/>
        <v>OK</v>
      </c>
    </row>
    <row r="16" spans="2:5" x14ac:dyDescent="0.25">
      <c r="B16" s="1" t="s">
        <v>94</v>
      </c>
      <c r="C16" s="2">
        <f>40+10</f>
        <v>50</v>
      </c>
      <c r="D16" s="2">
        <f>(Orçamento!D8)+(Orçamento!D15)+(Orçamento!D16)</f>
        <v>50</v>
      </c>
      <c r="E16" s="2" t="str">
        <f t="shared" si="0"/>
        <v>OK</v>
      </c>
    </row>
  </sheetData>
  <mergeCells count="4">
    <mergeCell ref="B2:B4"/>
    <mergeCell ref="C2:C4"/>
    <mergeCell ref="D2:D4"/>
    <mergeCell ref="E2:E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29"/>
  <sheetViews>
    <sheetView zoomScaleNormal="100" workbookViewId="0">
      <selection activeCell="D21" sqref="D21"/>
    </sheetView>
  </sheetViews>
  <sheetFormatPr defaultColWidth="8.7109375" defaultRowHeight="15" x14ac:dyDescent="0.25"/>
  <cols>
    <col min="2" max="2" width="39" customWidth="1"/>
    <col min="3" max="3" width="84.42578125" customWidth="1"/>
    <col min="4" max="4" width="95.5703125" customWidth="1"/>
  </cols>
  <sheetData>
    <row r="2" spans="2:4" ht="15" customHeight="1" x14ac:dyDescent="0.25">
      <c r="B2" s="17" t="s">
        <v>95</v>
      </c>
      <c r="C2" s="17" t="s">
        <v>96</v>
      </c>
      <c r="D2" s="17" t="s">
        <v>97</v>
      </c>
    </row>
    <row r="3" spans="2:4" x14ac:dyDescent="0.25">
      <c r="B3" s="17"/>
      <c r="C3" s="17"/>
      <c r="D3" s="17"/>
    </row>
    <row r="4" spans="2:4" x14ac:dyDescent="0.25">
      <c r="B4" s="17"/>
      <c r="C4" s="17"/>
      <c r="D4" s="17"/>
    </row>
    <row r="5" spans="2:4" x14ac:dyDescent="0.25">
      <c r="B5" s="6" t="s">
        <v>98</v>
      </c>
      <c r="C5" s="6" t="s">
        <v>99</v>
      </c>
      <c r="D5" s="6" t="s">
        <v>100</v>
      </c>
    </row>
    <row r="6" spans="2:4" x14ac:dyDescent="0.25">
      <c r="B6" s="2" t="s">
        <v>101</v>
      </c>
      <c r="C6" s="1" t="s">
        <v>102</v>
      </c>
      <c r="D6" s="1" t="s">
        <v>103</v>
      </c>
    </row>
    <row r="7" spans="2:4" x14ac:dyDescent="0.25">
      <c r="B7" s="2" t="s">
        <v>104</v>
      </c>
      <c r="C7" s="1" t="s">
        <v>105</v>
      </c>
      <c r="D7" s="1" t="s">
        <v>106</v>
      </c>
    </row>
    <row r="8" spans="2:4" x14ac:dyDescent="0.25">
      <c r="B8" s="2" t="s">
        <v>107</v>
      </c>
      <c r="C8" s="13">
        <f>Orçamento!E7+Orçamento!E8+Orçamento!E10+Orçamento!E12+Orçamento!E13+Orçamento!E14</f>
        <v>8509.9399999999987</v>
      </c>
      <c r="D8" s="13">
        <f>Orçamento!E10+Orçamento!E12+Orçamento!E13+Orçamento!E14+C27+C28</f>
        <v>9304.9299999999985</v>
      </c>
    </row>
    <row r="9" spans="2:4" x14ac:dyDescent="0.25">
      <c r="B9" s="2" t="s">
        <v>108</v>
      </c>
      <c r="C9" s="1" t="s">
        <v>109</v>
      </c>
      <c r="D9" s="1" t="s">
        <v>110</v>
      </c>
    </row>
    <row r="10" spans="2:4" x14ac:dyDescent="0.25">
      <c r="B10" s="2" t="s">
        <v>111</v>
      </c>
      <c r="C10" s="1" t="s">
        <v>112</v>
      </c>
      <c r="D10" s="1" t="s">
        <v>113</v>
      </c>
    </row>
    <row r="11" spans="2:4" x14ac:dyDescent="0.25">
      <c r="B11" s="2" t="s">
        <v>114</v>
      </c>
      <c r="C11" s="1" t="s">
        <v>115</v>
      </c>
      <c r="D11" s="1" t="s">
        <v>116</v>
      </c>
    </row>
    <row r="12" spans="2:4" x14ac:dyDescent="0.25">
      <c r="B12" s="2" t="s">
        <v>117</v>
      </c>
      <c r="C12" s="1" t="s">
        <v>118</v>
      </c>
      <c r="D12" s="1" t="s">
        <v>119</v>
      </c>
    </row>
    <row r="13" spans="2:4" ht="27.75" customHeight="1" x14ac:dyDescent="0.25">
      <c r="B13" s="14" t="s">
        <v>120</v>
      </c>
      <c r="C13" s="18" t="s">
        <v>121</v>
      </c>
      <c r="D13" s="18"/>
    </row>
    <row r="15" spans="2:4" ht="30" customHeight="1" x14ac:dyDescent="0.25">
      <c r="B15" s="6" t="s">
        <v>122</v>
      </c>
      <c r="C15" s="6" t="s">
        <v>123</v>
      </c>
      <c r="D15" s="6" t="s">
        <v>124</v>
      </c>
    </row>
    <row r="16" spans="2:4" x14ac:dyDescent="0.25">
      <c r="B16" s="2" t="s">
        <v>125</v>
      </c>
      <c r="C16" s="1" t="s">
        <v>126</v>
      </c>
      <c r="D16" s="1" t="s">
        <v>127</v>
      </c>
    </row>
    <row r="17" spans="2:4" x14ac:dyDescent="0.25">
      <c r="B17" s="2" t="s">
        <v>128</v>
      </c>
      <c r="C17" s="1" t="s">
        <v>129</v>
      </c>
      <c r="D17" s="1" t="s">
        <v>130</v>
      </c>
    </row>
    <row r="18" spans="2:4" x14ac:dyDescent="0.25">
      <c r="B18" s="2" t="s">
        <v>131</v>
      </c>
      <c r="C18" s="1" t="s">
        <v>132</v>
      </c>
      <c r="D18" s="1" t="s">
        <v>133</v>
      </c>
    </row>
    <row r="19" spans="2:4" x14ac:dyDescent="0.25">
      <c r="B19" s="2" t="s">
        <v>134</v>
      </c>
      <c r="C19" s="1" t="s">
        <v>135</v>
      </c>
      <c r="D19" s="1" t="s">
        <v>136</v>
      </c>
    </row>
    <row r="20" spans="2:4" x14ac:dyDescent="0.25">
      <c r="B20" s="2" t="s">
        <v>107</v>
      </c>
      <c r="C20" s="15">
        <f>Orçamento!E22+Orçamento!E23*Orçamento!D23+Orçamento!E24*Orçamento!D24</f>
        <v>61995.96</v>
      </c>
      <c r="D20" s="15">
        <f>Orçamento!E7+Orçamento!E8+Orçamento!E24*Orçamento!D24+Orçamento!E13+Orçamento!E14+C29</f>
        <v>41059.910000000003</v>
      </c>
    </row>
    <row r="21" spans="2:4" x14ac:dyDescent="0.25">
      <c r="B21" s="2" t="s">
        <v>117</v>
      </c>
      <c r="C21" s="1" t="s">
        <v>137</v>
      </c>
      <c r="D21" s="1" t="s">
        <v>138</v>
      </c>
    </row>
    <row r="22" spans="2:4" x14ac:dyDescent="0.25">
      <c r="B22" s="2" t="s">
        <v>114</v>
      </c>
      <c r="C22" s="1" t="s">
        <v>139</v>
      </c>
      <c r="D22" s="1" t="s">
        <v>140</v>
      </c>
    </row>
    <row r="23" spans="2:4" ht="27.75" customHeight="1" x14ac:dyDescent="0.25">
      <c r="B23" s="14" t="s">
        <v>120</v>
      </c>
      <c r="C23" s="18" t="s">
        <v>141</v>
      </c>
      <c r="D23" s="18"/>
    </row>
    <row r="26" spans="2:4" ht="30" x14ac:dyDescent="0.25">
      <c r="B26" s="6" t="s">
        <v>142</v>
      </c>
      <c r="C26" s="6" t="s">
        <v>143</v>
      </c>
      <c r="D26" s="6" t="s">
        <v>144</v>
      </c>
    </row>
    <row r="27" spans="2:4" ht="45" x14ac:dyDescent="0.25">
      <c r="B27" s="1" t="s">
        <v>145</v>
      </c>
      <c r="C27" s="16">
        <v>2354.98</v>
      </c>
      <c r="D27" s="1" t="s">
        <v>146</v>
      </c>
    </row>
    <row r="28" spans="2:4" ht="30" x14ac:dyDescent="0.25">
      <c r="B28" s="1" t="s">
        <v>147</v>
      </c>
      <c r="C28" s="16">
        <v>699.99</v>
      </c>
      <c r="D28" s="1" t="s">
        <v>148</v>
      </c>
    </row>
    <row r="29" spans="2:4" ht="45" x14ac:dyDescent="0.25">
      <c r="B29" s="1" t="s">
        <v>149</v>
      </c>
      <c r="C29" s="16">
        <v>9899.99</v>
      </c>
      <c r="D29" s="1" t="s">
        <v>150</v>
      </c>
    </row>
  </sheetData>
  <mergeCells count="5">
    <mergeCell ref="B2:B4"/>
    <mergeCell ref="C2:C4"/>
    <mergeCell ref="D2:D4"/>
    <mergeCell ref="C13:D13"/>
    <mergeCell ref="C23:D2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19"/>
  <sheetViews>
    <sheetView zoomScaleNormal="100" workbookViewId="0">
      <selection activeCell="C11" sqref="C11"/>
    </sheetView>
  </sheetViews>
  <sheetFormatPr defaultColWidth="8.7109375" defaultRowHeight="15" x14ac:dyDescent="0.25"/>
  <cols>
    <col min="2" max="2" width="48" customWidth="1"/>
    <col min="3" max="3" width="110" customWidth="1"/>
    <col min="4" max="4" width="16" customWidth="1"/>
    <col min="5" max="5" width="34" customWidth="1"/>
  </cols>
  <sheetData>
    <row r="2" spans="2:5" ht="15" customHeight="1" x14ac:dyDescent="0.25">
      <c r="B2" s="17" t="s">
        <v>0</v>
      </c>
      <c r="C2" s="17" t="s">
        <v>151</v>
      </c>
      <c r="D2" s="17" t="s">
        <v>7</v>
      </c>
      <c r="E2" s="17" t="s">
        <v>152</v>
      </c>
    </row>
    <row r="3" spans="2:5" x14ac:dyDescent="0.25">
      <c r="B3" s="17"/>
      <c r="C3" s="17"/>
      <c r="D3" s="17"/>
      <c r="E3" s="17"/>
    </row>
    <row r="4" spans="2:5" x14ac:dyDescent="0.25">
      <c r="B4" s="17"/>
      <c r="C4" s="17"/>
      <c r="D4" s="17"/>
      <c r="E4" s="17"/>
    </row>
    <row r="5" spans="2:5" ht="30" customHeight="1" x14ac:dyDescent="0.25">
      <c r="B5" s="1" t="s">
        <v>153</v>
      </c>
      <c r="C5" s="1" t="s">
        <v>12</v>
      </c>
      <c r="D5" s="2" t="s">
        <v>154</v>
      </c>
      <c r="E5" s="1" t="s">
        <v>155</v>
      </c>
    </row>
    <row r="6" spans="2:5" x14ac:dyDescent="0.25">
      <c r="B6" s="1" t="s">
        <v>156</v>
      </c>
      <c r="C6" s="1" t="s">
        <v>157</v>
      </c>
      <c r="D6" s="2" t="s">
        <v>154</v>
      </c>
      <c r="E6" s="1" t="s">
        <v>158</v>
      </c>
    </row>
    <row r="7" spans="2:5" x14ac:dyDescent="0.25">
      <c r="B7" s="1" t="s">
        <v>159</v>
      </c>
      <c r="C7" s="1" t="s">
        <v>160</v>
      </c>
      <c r="D7" s="2" t="s">
        <v>161</v>
      </c>
      <c r="E7" s="1" t="s">
        <v>158</v>
      </c>
    </row>
    <row r="8" spans="2:5" x14ac:dyDescent="0.25">
      <c r="B8" s="1" t="s">
        <v>162</v>
      </c>
      <c r="C8" s="1" t="s">
        <v>163</v>
      </c>
      <c r="D8" s="2" t="s">
        <v>161</v>
      </c>
      <c r="E8" s="1" t="s">
        <v>155</v>
      </c>
    </row>
    <row r="9" spans="2:5" x14ac:dyDescent="0.25">
      <c r="B9" s="1" t="s">
        <v>164</v>
      </c>
      <c r="C9" s="1" t="s">
        <v>165</v>
      </c>
      <c r="D9" s="2" t="s">
        <v>166</v>
      </c>
      <c r="E9" s="1"/>
    </row>
    <row r="10" spans="2:5" ht="45" x14ac:dyDescent="0.25">
      <c r="B10" s="1" t="s">
        <v>167</v>
      </c>
      <c r="C10" s="1" t="s">
        <v>168</v>
      </c>
      <c r="D10" s="2" t="s">
        <v>169</v>
      </c>
      <c r="E10" s="1" t="s">
        <v>170</v>
      </c>
    </row>
    <row r="11" spans="2:5" ht="30" customHeight="1" x14ac:dyDescent="0.25">
      <c r="B11" s="1" t="s">
        <v>171</v>
      </c>
      <c r="C11" s="1" t="s">
        <v>172</v>
      </c>
      <c r="D11" s="2" t="s">
        <v>173</v>
      </c>
      <c r="E11" s="1" t="s">
        <v>174</v>
      </c>
    </row>
    <row r="12" spans="2:5" ht="30" customHeight="1" x14ac:dyDescent="0.25">
      <c r="B12" s="1" t="s">
        <v>175</v>
      </c>
      <c r="C12" s="1" t="s">
        <v>176</v>
      </c>
      <c r="D12" s="2" t="s">
        <v>173</v>
      </c>
      <c r="E12" s="1" t="s">
        <v>177</v>
      </c>
    </row>
    <row r="13" spans="2:5" ht="30" x14ac:dyDescent="0.25">
      <c r="B13" s="1" t="s">
        <v>178</v>
      </c>
      <c r="C13" s="1" t="s">
        <v>37</v>
      </c>
      <c r="D13" s="2" t="s">
        <v>169</v>
      </c>
      <c r="E13" s="1" t="s">
        <v>179</v>
      </c>
    </row>
    <row r="14" spans="2:5" ht="30" x14ac:dyDescent="0.25">
      <c r="B14" s="1" t="s">
        <v>180</v>
      </c>
      <c r="C14" s="1" t="s">
        <v>35</v>
      </c>
      <c r="D14" s="2" t="s">
        <v>169</v>
      </c>
      <c r="E14" s="1" t="s">
        <v>181</v>
      </c>
    </row>
    <row r="15" spans="2:5" ht="30" x14ac:dyDescent="0.25">
      <c r="B15" s="1" t="s">
        <v>182</v>
      </c>
      <c r="C15" s="1" t="s">
        <v>183</v>
      </c>
      <c r="D15" s="2" t="s">
        <v>169</v>
      </c>
      <c r="E15" s="1" t="s">
        <v>184</v>
      </c>
    </row>
    <row r="16" spans="2:5" ht="30" x14ac:dyDescent="0.25">
      <c r="B16" s="1" t="s">
        <v>185</v>
      </c>
      <c r="C16" s="1" t="s">
        <v>63</v>
      </c>
      <c r="D16" s="2" t="s">
        <v>169</v>
      </c>
      <c r="E16" s="1" t="s">
        <v>186</v>
      </c>
    </row>
    <row r="17" spans="2:5" ht="30" x14ac:dyDescent="0.25">
      <c r="B17" s="1" t="s">
        <v>187</v>
      </c>
      <c r="C17" s="1" t="s">
        <v>148</v>
      </c>
      <c r="D17" s="2" t="s">
        <v>169</v>
      </c>
      <c r="E17" s="1" t="s">
        <v>188</v>
      </c>
    </row>
    <row r="18" spans="2:5" ht="30" x14ac:dyDescent="0.25">
      <c r="B18" s="1" t="s">
        <v>189</v>
      </c>
      <c r="C18" s="1" t="s">
        <v>146</v>
      </c>
      <c r="D18" s="2" t="s">
        <v>169</v>
      </c>
      <c r="E18" s="1" t="s">
        <v>190</v>
      </c>
    </row>
    <row r="19" spans="2:5" ht="30" x14ac:dyDescent="0.25">
      <c r="B19" s="1" t="s">
        <v>191</v>
      </c>
      <c r="C19" s="1" t="s">
        <v>150</v>
      </c>
      <c r="D19" s="2" t="s">
        <v>169</v>
      </c>
      <c r="E19" s="1" t="s">
        <v>192</v>
      </c>
    </row>
  </sheetData>
  <mergeCells count="4">
    <mergeCell ref="B2:B4"/>
    <mergeCell ref="C2:C4"/>
    <mergeCell ref="D2:D4"/>
    <mergeCell ref="E2:E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Orçamento</vt:lpstr>
      <vt:lpstr>Conferência</vt:lpstr>
      <vt:lpstr>Comparação</vt:lpstr>
      <vt:lpstr>Fontes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Luiz Felipe Carvalho Leite</cp:lastModifiedBy>
  <cp:revision>0</cp:revision>
  <dcterms:created xsi:type="dcterms:W3CDTF">2026-10-05T23:22:34Z</dcterms:created>
  <dcterms:modified xsi:type="dcterms:W3CDTF">2026-10-16T10:58:54Z</dcterms:modified>
  <dc:language>en-US</dc:language>
</cp:coreProperties>
</file>