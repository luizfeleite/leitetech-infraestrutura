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leitetech-infraestrutura\"/>
    </mc:Choice>
  </mc:AlternateContent>
  <xr:revisionPtr revIDLastSave="0" documentId="13_ncr:1_{0AF68FD9-ECA0-4BC7-994C-D1E71775359C}" xr6:coauthVersionLast="47" xr6:coauthVersionMax="47" xr10:uidLastSave="{00000000-0000-0000-0000-000000000000}"/>
  <bookViews>
    <workbookView xWindow="-38520" yWindow="-5475" windowWidth="38640" windowHeight="21120" tabRatio="500" xr2:uid="{00000000-000D-0000-FFFF-FFFF00000000}"/>
  </bookViews>
  <sheets>
    <sheet name="Serviços" sheetId="1" r:id="rId1"/>
    <sheet name="RAID" sheetId="2" r:id="rId2"/>
    <sheet name="Servidor" sheetId="3" r:id="rId3"/>
    <sheet name="Backup (NAS)" sheetId="4" r:id="rId4"/>
    <sheet name="Energia" sheetId="5" r:id="rId5"/>
    <sheet name="Font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5" l="1"/>
  <c r="E7" i="5"/>
  <c r="E6" i="5"/>
  <c r="E5" i="5"/>
  <c r="E9" i="5" s="1"/>
  <c r="C12" i="4"/>
  <c r="C14" i="2"/>
  <c r="C29" i="3" s="1"/>
  <c r="C13" i="2"/>
  <c r="C8" i="2"/>
  <c r="C7" i="2"/>
  <c r="C6" i="2"/>
  <c r="C5" i="2"/>
  <c r="F12" i="1"/>
  <c r="C2" i="4" s="1"/>
  <c r="E12" i="1"/>
  <c r="C22" i="3" s="1"/>
  <c r="C23" i="3" s="1"/>
  <c r="C24" i="3" s="1"/>
  <c r="D25" i="3" s="1"/>
  <c r="D12" i="1"/>
  <c r="C18" i="3" s="1"/>
  <c r="C19" i="3" s="1"/>
  <c r="D20" i="3" s="1"/>
  <c r="C7" i="4" l="1"/>
  <c r="C6" i="4"/>
  <c r="C23" i="5"/>
  <c r="C21" i="5"/>
  <c r="C18" i="5"/>
  <c r="C12" i="5"/>
  <c r="C15" i="2"/>
  <c r="C16" i="2"/>
  <c r="C26" i="3"/>
  <c r="C28" i="3" s="1"/>
  <c r="C14" i="5" l="1"/>
  <c r="C19" i="5" s="1"/>
  <c r="C8" i="4"/>
  <c r="C9" i="4" s="1"/>
  <c r="C30" i="3"/>
  <c r="D30" i="3"/>
  <c r="C14" i="4" l="1"/>
  <c r="C13" i="4"/>
</calcChain>
</file>

<file path=xl/sharedStrings.xml><?xml version="1.0" encoding="utf-8"?>
<sst xmlns="http://schemas.openxmlformats.org/spreadsheetml/2006/main" count="178" uniqueCount="152">
  <si>
    <t>Máquina virtual</t>
  </si>
  <si>
    <t>Função</t>
  </si>
  <si>
    <t>vCPU</t>
  </si>
  <si>
    <t>RAM (GB)</t>
  </si>
  <si>
    <t>Disco (GB)</t>
  </si>
  <si>
    <t>Observação</t>
  </si>
  <si>
    <t>SRV-AD01</t>
  </si>
  <si>
    <t>Autenticação, DNS e DHCP</t>
  </si>
  <si>
    <t>Todos os 50 usuários dependem dele</t>
  </si>
  <si>
    <t>SRV-ARQ01</t>
  </si>
  <si>
    <t>Arquivos compartilhados e impressão</t>
  </si>
  <si>
    <t>≈ 20 GB por funcionário</t>
  </si>
  <si>
    <t>SRV-GIT01</t>
  </si>
  <si>
    <t>Repositório Git (código-fonte)</t>
  </si>
  <si>
    <t>Equipe de 15 desenvolvedores/QA/Design</t>
  </si>
  <si>
    <t>SRV-DB01</t>
  </si>
  <si>
    <t>Banco de dados (ERP e chamados)</t>
  </si>
  <si>
    <t>Maior consumo de RAM</t>
  </si>
  <si>
    <t>SRV-APP01</t>
  </si>
  <si>
    <t>ERP e sistema de chamados (aplicação)</t>
  </si>
  <si>
    <t>Usado por Financeiro, Comercial e Suporte</t>
  </si>
  <si>
    <t>SRV-MON01</t>
  </si>
  <si>
    <t>Monitoramento (rede, servidores e sensor)</t>
  </si>
  <si>
    <t>Alertas para a TI</t>
  </si>
  <si>
    <t>Hipervisor (reserva do host)</t>
  </si>
  <si>
    <t>Sistema que roda as VMs</t>
  </si>
  <si>
    <t>RAM e disco reservados ao próprio host</t>
  </si>
  <si>
    <t>TOTAL</t>
  </si>
  <si>
    <t>Nível</t>
  </si>
  <si>
    <t>Capacidade útil (TB)</t>
  </si>
  <si>
    <t>Falhas toleradas</t>
  </si>
  <si>
    <t>PERC H355 (RAID 0/1/10)</t>
  </si>
  <si>
    <t>PERC H755 (RAID 0/1/5/6/10)</t>
  </si>
  <si>
    <t>Comentário</t>
  </si>
  <si>
    <t>RAID 0</t>
  </si>
  <si>
    <t>Sim</t>
  </si>
  <si>
    <t>Sem redundância: não serve para produção</t>
  </si>
  <si>
    <t>RAID 5</t>
  </si>
  <si>
    <t>Não</t>
  </si>
  <si>
    <t>Reconstrução lenta e arriscada; escrita mais lenta para banco de dados</t>
  </si>
  <si>
    <t>RAID 6</t>
  </si>
  <si>
    <t>Tolera 2 falhas, mas com 4 discos perde metade da capacidade</t>
  </si>
  <si>
    <t>RAID 10</t>
  </si>
  <si>
    <t>1 (garantida)</t>
  </si>
  <si>
    <t>Bom desempenho para banco e VMs; reconstrução rápida; controladora mais simples</t>
  </si>
  <si>
    <t>RAID escolhido</t>
  </si>
  <si>
    <t>Nº de discos</t>
  </si>
  <si>
    <t>Capacidade bruta (TB)</t>
  </si>
  <si>
    <t>Capacidade por disco (TB)</t>
  </si>
  <si>
    <t>Eficiência (útil ÷ bruta)</t>
  </si>
  <si>
    <t>Útil como o sistema mostra (TiB)</t>
  </si>
  <si>
    <t>Componente</t>
  </si>
  <si>
    <t>Especificação</t>
  </si>
  <si>
    <t>Status</t>
  </si>
  <si>
    <t>Modelo</t>
  </si>
  <si>
    <t>Dell PowerEdge R360, rack 1U, chassi com 8 baias de 2,5" hot-plug</t>
  </si>
  <si>
    <t>Confirmado</t>
  </si>
  <si>
    <t>Processador</t>
  </si>
  <si>
    <t>Intel Xeon E-2436 (6 núcleos / 12 threads, 2,9 GHz, 65 W)</t>
  </si>
  <si>
    <t>Memória</t>
  </si>
  <si>
    <t>2× 32 GB DDR5-4800 ECC UDIMM = 64 GB (4 slots no total; máximo de 128 GB)</t>
  </si>
  <si>
    <t>Controladora RAID</t>
  </si>
  <si>
    <t>Dell PERC H355 (suporta RAID 0, 1 e 10)</t>
  </si>
  <si>
    <t>Discos</t>
  </si>
  <si>
    <t>4× SSD SATA 1,92 TB 2,5" hot-plug (Kingston DC600M SEDC600M/1920G)</t>
  </si>
  <si>
    <t>Baias livres</t>
  </si>
  <si>
    <t>4 de 8 (expansão de armazenamento sem trocar o servidor)</t>
  </si>
  <si>
    <t>Fonte de energia</t>
  </si>
  <si>
    <t>2× hot-swap redundantes (opções Dell: 600 W Platinum ou 700 W Titanium)</t>
  </si>
  <si>
    <t>Rede</t>
  </si>
  <si>
    <t>Portas de rede integradas (quantidade e velocidade a confirmar), ligadas ao switch núcleo</t>
  </si>
  <si>
    <t>A confirmar</t>
  </si>
  <si>
    <t>Dimensionamento</t>
  </si>
  <si>
    <t>Valor</t>
  </si>
  <si>
    <t>Resultado</t>
  </si>
  <si>
    <t>Threads do processador</t>
  </si>
  <si>
    <t>vCPU alocadas (soma das VMs)</t>
  </si>
  <si>
    <t>vCPU por thread</t>
  </si>
  <si>
    <t>Limite adotado (vCPU por thread)</t>
  </si>
  <si>
    <t>RAM instalada (GB)</t>
  </si>
  <si>
    <t>RAM necessária (VMs + host, GB)</t>
  </si>
  <si>
    <t>Folga de RAM (GB)</t>
  </si>
  <si>
    <t>Folga de RAM (%)</t>
  </si>
  <si>
    <t>Reserva mínima adotada</t>
  </si>
  <si>
    <t>Disco necessário hoje (GB)</t>
  </si>
  <si>
    <t>Crescimento previsto</t>
  </si>
  <si>
    <t>Disco necessário com crescimento (GB)</t>
  </si>
  <si>
    <t>Capacidade útil do RAID (GB)</t>
  </si>
  <si>
    <t>Uso da capacidade após crescimento</t>
  </si>
  <si>
    <t>Dados protegidos (TB)</t>
  </si>
  <si>
    <t>Variação diária de dados</t>
  </si>
  <si>
    <t>Retenção (dias)</t>
  </si>
  <si>
    <t>Backup completo (TB)</t>
  </si>
  <si>
    <t>Incrementais acumulados (TB)</t>
  </si>
  <si>
    <t>Total sem crescimento (TB)</t>
  </si>
  <si>
    <t>Total com crescimento (TB)</t>
  </si>
  <si>
    <t>Nº de discos do NAS</t>
  </si>
  <si>
    <t>Capacidade útil em RAID 1 (TB)</t>
  </si>
  <si>
    <t>Uso após crescimento</t>
  </si>
  <si>
    <t>Equipamento</t>
  </si>
  <si>
    <t>NAS de 2 baias (Synology DS224+) com 2× Seagate IronWolf 8 TB (ST8000VN004) em RAID 1</t>
  </si>
  <si>
    <t>Potência estimada (W)</t>
  </si>
  <si>
    <t>Qtd</t>
  </si>
  <si>
    <t>Subtotal (W)</t>
  </si>
  <si>
    <t>Servidor Dell PowerEdge R360</t>
  </si>
  <si>
    <t>NAS de backup</t>
  </si>
  <si>
    <t>Firewall</t>
  </si>
  <si>
    <t>Switch núcleo</t>
  </si>
  <si>
    <t>Margem de segurança</t>
  </si>
  <si>
    <t>Potência com margem (W)</t>
  </si>
  <si>
    <t>Fator de potência adotado</t>
  </si>
  <si>
    <t>Potência aparente necessária (VA)</t>
  </si>
  <si>
    <t>Nobreak escolhido</t>
  </si>
  <si>
    <t>APC Smart-UPS RT SURTA1500XL-BR (1500 VA / 1050 W, dupla conversão online, torre)</t>
  </si>
  <si>
    <t>Capacidade do nobreak (W)</t>
  </si>
  <si>
    <t>Capacidade do nobreak (VA)</t>
  </si>
  <si>
    <t>Carga real sobre o nobreak</t>
  </si>
  <si>
    <t>Capacidade suficiente? (W e VA)</t>
  </si>
  <si>
    <t>Autonomia de referência do fabricante</t>
  </si>
  <si>
    <t>≈ 22,2 min com 525 W e ≈ 8,6 min com 1050 W (valores típicos do fabricante)</t>
  </si>
  <si>
    <t>Autonomia estimada na carga real</t>
  </si>
  <si>
    <t>Autonomia mínima desejada (min)</t>
  </si>
  <si>
    <t>Atende ao desligamento seguro?</t>
  </si>
  <si>
    <t>Status do modelo</t>
  </si>
  <si>
    <t>Item</t>
  </si>
  <si>
    <t>URL</t>
  </si>
  <si>
    <t>Data da consulta</t>
  </si>
  <si>
    <t>Dell PowerEdge R360 (análise técnica)</t>
  </si>
  <si>
    <t>https://www.storagereview.com/review/dell-poweredge-r360-server-review</t>
  </si>
  <si>
    <t>02/10/2026</t>
  </si>
  <si>
    <t>1U, Xeon E-2400 com até 8 núcleos, DDR5, PERC H355/H755</t>
  </si>
  <si>
    <t>Dell PowerEdge R360 (chassi, memória, fontes)</t>
  </si>
  <si>
    <t>https://s2.thegioimaychu.vn/may-chu-dell-poweredge-r360-8x2-5-basic-tm9601.html</t>
  </si>
  <si>
    <t>4 slots DDR5 ECC, até 128 GB, 8 baias de 2,5", fontes redundantes</t>
  </si>
  <si>
    <t>Xeon E-2436 e PERC H355 (RAID 0/1/10)</t>
  </si>
  <si>
    <t>https://www.quickserv.co.th/server/DELL-EMC/Rack-1U-:-Single-Socket/detail/Dell-PowerEdge-R360/SNSR36018.html</t>
  </si>
  <si>
    <t>E-2436: 6 núcleos/12 threads, 65 W, H755 suporta RAID 5/6</t>
  </si>
  <si>
    <t>APC SURTA1500XL (ficha: 1500 VA / 1050 W, dupla conversão online)</t>
  </si>
  <si>
    <t>https://icecat.fr/amp/p/vendorName/mpn/desc-1112790.html</t>
  </si>
  <si>
    <t>12/10/2026</t>
  </si>
  <si>
    <t>Ficha de catálogo (Icecat)</t>
  </si>
  <si>
    <t>APC SURTA1500XL (autonomia: 22,2 min a 525 W, 8,6 min a 1050 W)</t>
  </si>
  <si>
    <t>https://ubbthreads.com/store/item/APC-Smart-UPS-RT-1500VA-1050W-Tower-Double-Conversion-Online-SURTA1500XL-Re-_354540225141.html</t>
  </si>
  <si>
    <t>Valores típicos do fabricante em loja de revenda</t>
  </si>
  <si>
    <t>Memória ECC UDIMM 32 GB DDR5-4800 (Kabum)</t>
  </si>
  <si>
    <t>https://www.kabum.com.br/produto/1070303/memoria-32gb-ddr5-para-dell-t160-r260-t360-r360</t>
  </si>
  <si>
    <t>13/10/2026</t>
  </si>
  <si>
    <t>Ficha: ECC UDIMM, DDR5-4800, 1 módulo por compra</t>
  </si>
  <si>
    <t>Dell PowerEdge R360 (página da Dell)</t>
  </si>
  <si>
    <t>https://www.dell.com/pt-br/shop/servidores-armazenamento-rede/poweredge-r360/spd/poweredge-r360/pe_r360_18250</t>
  </si>
  <si>
    <t>06/10/2026</t>
  </si>
  <si>
    <t>Configuração e preço do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</si>
</sst>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name val="Aptos Narrow"/>
      <charset val="1"/>
    </font>
    <font>
      <i/>
      <sz val="9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9" tint="0.79979857783745845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2" fontId="0" fillId="0" borderId="1" xfId="0" applyNumberForma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tabSelected="1" zoomScaleNormal="100" workbookViewId="0">
      <selection activeCell="C32" sqref="C32"/>
    </sheetView>
  </sheetViews>
  <sheetFormatPr defaultColWidth="8.5703125" defaultRowHeight="15" x14ac:dyDescent="0.25"/>
  <cols>
    <col min="2" max="2" width="25.85546875" customWidth="1"/>
    <col min="3" max="3" width="39.28515625" customWidth="1"/>
    <col min="4" max="4" width="5.42578125" customWidth="1"/>
    <col min="6" max="6" width="10.28515625" customWidth="1"/>
    <col min="7" max="7" width="39.5703125" customWidth="1"/>
  </cols>
  <sheetData>
    <row r="2" spans="2:7" ht="15" customHeight="1" x14ac:dyDescent="0.25">
      <c r="B2" s="21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</row>
    <row r="3" spans="2:7" ht="15" customHeight="1" x14ac:dyDescent="0.25">
      <c r="B3" s="21"/>
      <c r="C3" s="21"/>
      <c r="D3" s="21"/>
      <c r="E3" s="21"/>
      <c r="F3" s="21"/>
      <c r="G3" s="21"/>
    </row>
    <row r="4" spans="2:7" ht="15" customHeight="1" x14ac:dyDescent="0.25">
      <c r="B4" s="21"/>
      <c r="C4" s="21"/>
      <c r="D4" s="21"/>
      <c r="E4" s="21"/>
      <c r="F4" s="21"/>
      <c r="G4" s="21"/>
    </row>
    <row r="5" spans="2:7" ht="15" customHeight="1" x14ac:dyDescent="0.25">
      <c r="B5" s="2" t="s">
        <v>6</v>
      </c>
      <c r="C5" s="2" t="s">
        <v>7</v>
      </c>
      <c r="D5" s="2">
        <v>2</v>
      </c>
      <c r="E5" s="2">
        <v>4</v>
      </c>
      <c r="F5" s="2">
        <v>80</v>
      </c>
      <c r="G5" s="2" t="s">
        <v>8</v>
      </c>
    </row>
    <row r="6" spans="2:7" ht="15" customHeight="1" x14ac:dyDescent="0.25">
      <c r="B6" s="2" t="s">
        <v>9</v>
      </c>
      <c r="C6" s="2" t="s">
        <v>10</v>
      </c>
      <c r="D6" s="2">
        <v>2</v>
      </c>
      <c r="E6" s="2">
        <v>4</v>
      </c>
      <c r="F6" s="2">
        <v>1000</v>
      </c>
      <c r="G6" s="2" t="s">
        <v>11</v>
      </c>
    </row>
    <row r="7" spans="2:7" ht="15" customHeight="1" x14ac:dyDescent="0.25">
      <c r="B7" s="2" t="s">
        <v>12</v>
      </c>
      <c r="C7" s="2" t="s">
        <v>13</v>
      </c>
      <c r="D7" s="2">
        <v>4</v>
      </c>
      <c r="E7" s="2">
        <v>8</v>
      </c>
      <c r="F7" s="2">
        <v>400</v>
      </c>
      <c r="G7" s="2" t="s">
        <v>14</v>
      </c>
    </row>
    <row r="8" spans="2:7" ht="15" customHeight="1" x14ac:dyDescent="0.25">
      <c r="B8" s="2" t="s">
        <v>15</v>
      </c>
      <c r="C8" s="2" t="s">
        <v>16</v>
      </c>
      <c r="D8" s="2">
        <v>4</v>
      </c>
      <c r="E8" s="2">
        <v>16</v>
      </c>
      <c r="F8" s="2">
        <v>300</v>
      </c>
      <c r="G8" s="2" t="s">
        <v>17</v>
      </c>
    </row>
    <row r="9" spans="2:7" ht="15" customHeight="1" x14ac:dyDescent="0.25">
      <c r="B9" s="2" t="s">
        <v>18</v>
      </c>
      <c r="C9" s="2" t="s">
        <v>19</v>
      </c>
      <c r="D9" s="2">
        <v>4</v>
      </c>
      <c r="E9" s="2">
        <v>8</v>
      </c>
      <c r="F9" s="2">
        <v>200</v>
      </c>
      <c r="G9" s="2" t="s">
        <v>20</v>
      </c>
    </row>
    <row r="10" spans="2:7" ht="15" customHeight="1" x14ac:dyDescent="0.25">
      <c r="B10" s="2" t="s">
        <v>21</v>
      </c>
      <c r="C10" s="2" t="s">
        <v>22</v>
      </c>
      <c r="D10" s="2">
        <v>2</v>
      </c>
      <c r="E10" s="2">
        <v>4</v>
      </c>
      <c r="F10" s="2">
        <v>100</v>
      </c>
      <c r="G10" s="2" t="s">
        <v>23</v>
      </c>
    </row>
    <row r="11" spans="2:7" ht="15" customHeight="1" x14ac:dyDescent="0.25">
      <c r="B11" s="2" t="s">
        <v>24</v>
      </c>
      <c r="C11" s="2" t="s">
        <v>25</v>
      </c>
      <c r="D11" s="2">
        <v>0</v>
      </c>
      <c r="E11" s="2">
        <v>8</v>
      </c>
      <c r="F11" s="2">
        <v>100</v>
      </c>
      <c r="G11" s="2" t="s">
        <v>26</v>
      </c>
    </row>
    <row r="12" spans="2:7" ht="15" customHeight="1" x14ac:dyDescent="0.25">
      <c r="B12" s="3" t="s">
        <v>27</v>
      </c>
      <c r="C12" s="4"/>
      <c r="D12" s="4">
        <f>SUM(D5:D11)</f>
        <v>18</v>
      </c>
      <c r="E12" s="4">
        <f>SUM(E5:E11)</f>
        <v>52</v>
      </c>
      <c r="F12" s="4">
        <f>SUM(F5:F11)</f>
        <v>2180</v>
      </c>
      <c r="G12" s="4"/>
    </row>
  </sheetData>
  <mergeCells count="6">
    <mergeCell ref="G2:G4"/>
    <mergeCell ref="B2:B4"/>
    <mergeCell ref="C2:C4"/>
    <mergeCell ref="D2:D4"/>
    <mergeCell ref="E2:E4"/>
    <mergeCell ref="F2:F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8"/>
  <sheetViews>
    <sheetView zoomScaleNormal="100" workbookViewId="0">
      <selection activeCell="B18" sqref="B18"/>
    </sheetView>
  </sheetViews>
  <sheetFormatPr defaultColWidth="8.5703125" defaultRowHeight="15" x14ac:dyDescent="0.25"/>
  <cols>
    <col min="2" max="2" width="101.7109375" customWidth="1"/>
    <col min="3" max="3" width="19.140625" customWidth="1"/>
    <col min="4" max="4" width="16" customWidth="1"/>
    <col min="5" max="5" width="24.7109375" customWidth="1"/>
    <col min="6" max="6" width="26" customWidth="1"/>
    <col min="7" max="7" width="79.140625" customWidth="1"/>
  </cols>
  <sheetData>
    <row r="2" spans="2:7" ht="15" customHeight="1" x14ac:dyDescent="0.25">
      <c r="B2" s="22" t="s">
        <v>28</v>
      </c>
      <c r="C2" s="22" t="s">
        <v>29</v>
      </c>
      <c r="D2" s="22" t="s">
        <v>30</v>
      </c>
      <c r="E2" s="22" t="s">
        <v>31</v>
      </c>
      <c r="F2" s="22" t="s">
        <v>32</v>
      </c>
      <c r="G2" s="22" t="s">
        <v>33</v>
      </c>
    </row>
    <row r="3" spans="2:7" ht="15" customHeight="1" x14ac:dyDescent="0.25">
      <c r="B3" s="22"/>
      <c r="C3" s="22"/>
      <c r="D3" s="22"/>
      <c r="E3" s="22"/>
      <c r="F3" s="22"/>
      <c r="G3" s="22"/>
    </row>
    <row r="4" spans="2:7" ht="15" customHeight="1" x14ac:dyDescent="0.25">
      <c r="B4" s="22"/>
      <c r="C4" s="22"/>
      <c r="D4" s="22"/>
      <c r="E4" s="22"/>
      <c r="F4" s="22"/>
      <c r="G4" s="22"/>
    </row>
    <row r="5" spans="2:7" ht="15" customHeight="1" x14ac:dyDescent="0.25">
      <c r="B5" s="2" t="s">
        <v>34</v>
      </c>
      <c r="C5" s="5">
        <f>F12*F13</f>
        <v>7.68</v>
      </c>
      <c r="D5" s="2">
        <v>0</v>
      </c>
      <c r="E5" s="2" t="s">
        <v>35</v>
      </c>
      <c r="F5" s="2" t="s">
        <v>35</v>
      </c>
      <c r="G5" s="2" t="s">
        <v>36</v>
      </c>
    </row>
    <row r="6" spans="2:7" ht="15" customHeight="1" x14ac:dyDescent="0.25">
      <c r="B6" s="2" t="s">
        <v>37</v>
      </c>
      <c r="C6" s="5">
        <f>(F12-1)*F13</f>
        <v>5.76</v>
      </c>
      <c r="D6" s="2">
        <v>1</v>
      </c>
      <c r="E6" s="2" t="s">
        <v>38</v>
      </c>
      <c r="F6" s="2" t="s">
        <v>35</v>
      </c>
      <c r="G6" s="2" t="s">
        <v>39</v>
      </c>
    </row>
    <row r="7" spans="2:7" ht="15" customHeight="1" x14ac:dyDescent="0.25">
      <c r="B7" s="2" t="s">
        <v>40</v>
      </c>
      <c r="C7" s="5">
        <f>(F12-2)*F13</f>
        <v>3.84</v>
      </c>
      <c r="D7" s="2">
        <v>2</v>
      </c>
      <c r="E7" s="2" t="s">
        <v>38</v>
      </c>
      <c r="F7" s="2" t="s">
        <v>35</v>
      </c>
      <c r="G7" s="2" t="s">
        <v>41</v>
      </c>
    </row>
    <row r="8" spans="2:7" ht="15" customHeight="1" x14ac:dyDescent="0.25">
      <c r="B8" s="23" t="s">
        <v>42</v>
      </c>
      <c r="C8" s="24">
        <f>F12/2*F13</f>
        <v>3.84</v>
      </c>
      <c r="D8" s="23" t="s">
        <v>43</v>
      </c>
      <c r="E8" s="23" t="s">
        <v>35</v>
      </c>
      <c r="F8" s="23" t="s">
        <v>35</v>
      </c>
      <c r="G8" s="23" t="s">
        <v>44</v>
      </c>
    </row>
    <row r="9" spans="2:7" ht="15" customHeight="1" x14ac:dyDescent="0.25">
      <c r="B9" s="23"/>
      <c r="C9" s="23"/>
      <c r="D9" s="23"/>
      <c r="E9" s="23"/>
      <c r="F9" s="23"/>
      <c r="G9" s="23"/>
    </row>
    <row r="12" spans="2:7" ht="15" customHeight="1" x14ac:dyDescent="0.25">
      <c r="B12" s="6" t="s">
        <v>45</v>
      </c>
      <c r="C12" s="7" t="s">
        <v>42</v>
      </c>
      <c r="E12" s="6" t="s">
        <v>46</v>
      </c>
      <c r="F12" s="7">
        <v>4</v>
      </c>
    </row>
    <row r="13" spans="2:7" ht="25.5" customHeight="1" x14ac:dyDescent="0.25">
      <c r="B13" s="6" t="s">
        <v>47</v>
      </c>
      <c r="C13" s="8">
        <f>F12*F13</f>
        <v>7.68</v>
      </c>
      <c r="E13" s="6" t="s">
        <v>48</v>
      </c>
      <c r="F13" s="7">
        <v>1.92</v>
      </c>
    </row>
    <row r="14" spans="2:7" ht="30" customHeight="1" x14ac:dyDescent="0.25">
      <c r="B14" s="6" t="s">
        <v>29</v>
      </c>
      <c r="C14" s="8">
        <f>F12/2*F13</f>
        <v>3.84</v>
      </c>
    </row>
    <row r="15" spans="2:7" ht="25.5" customHeight="1" x14ac:dyDescent="0.25">
      <c r="B15" s="6" t="s">
        <v>49</v>
      </c>
      <c r="C15" s="9">
        <f>C14/C13</f>
        <v>0.5</v>
      </c>
    </row>
    <row r="16" spans="2:7" ht="25.5" customHeight="1" x14ac:dyDescent="0.25">
      <c r="B16" s="6" t="s">
        <v>50</v>
      </c>
      <c r="C16" s="8">
        <f>C14*10^12/2^40</f>
        <v>3.4924596548080444</v>
      </c>
    </row>
    <row r="18" spans="2:2" ht="15" customHeight="1" x14ac:dyDescent="0.25">
      <c r="B18" s="10"/>
    </row>
  </sheetData>
  <mergeCells count="12">
    <mergeCell ref="G2:G4"/>
    <mergeCell ref="B8:B9"/>
    <mergeCell ref="C8:C9"/>
    <mergeCell ref="D8:D9"/>
    <mergeCell ref="E8:E9"/>
    <mergeCell ref="F8:F9"/>
    <mergeCell ref="G8:G9"/>
    <mergeCell ref="B2:B4"/>
    <mergeCell ref="C2:C4"/>
    <mergeCell ref="D2:D4"/>
    <mergeCell ref="E2:E4"/>
    <mergeCell ref="F2:F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30"/>
  <sheetViews>
    <sheetView zoomScaleNormal="100" workbookViewId="0">
      <selection activeCell="D7" sqref="D7"/>
    </sheetView>
  </sheetViews>
  <sheetFormatPr defaultColWidth="8.5703125" defaultRowHeight="15" x14ac:dyDescent="0.25"/>
  <cols>
    <col min="2" max="2" width="36.85546875" customWidth="1"/>
    <col min="3" max="3" width="82.85546875" customWidth="1"/>
    <col min="4" max="4" width="11.42578125" customWidth="1"/>
  </cols>
  <sheetData>
    <row r="2" spans="2:4" ht="15" customHeight="1" x14ac:dyDescent="0.25">
      <c r="B2" s="21" t="s">
        <v>51</v>
      </c>
      <c r="C2" s="21" t="s">
        <v>52</v>
      </c>
      <c r="D2" s="21" t="s">
        <v>53</v>
      </c>
    </row>
    <row r="3" spans="2:4" ht="15" customHeight="1" x14ac:dyDescent="0.25">
      <c r="B3" s="21"/>
      <c r="C3" s="21"/>
      <c r="D3" s="21"/>
    </row>
    <row r="4" spans="2:4" ht="15" customHeight="1" x14ac:dyDescent="0.25">
      <c r="B4" s="21"/>
      <c r="C4" s="21"/>
      <c r="D4" s="21"/>
    </row>
    <row r="5" spans="2:4" ht="15" customHeight="1" x14ac:dyDescent="0.25">
      <c r="B5" s="2" t="s">
        <v>54</v>
      </c>
      <c r="C5" s="2" t="s">
        <v>55</v>
      </c>
      <c r="D5" s="11" t="s">
        <v>56</v>
      </c>
    </row>
    <row r="6" spans="2:4" ht="15" customHeight="1" x14ac:dyDescent="0.25">
      <c r="B6" s="2" t="s">
        <v>57</v>
      </c>
      <c r="C6" s="2" t="s">
        <v>58</v>
      </c>
      <c r="D6" s="11" t="s">
        <v>56</v>
      </c>
    </row>
    <row r="7" spans="2:4" ht="15" customHeight="1" x14ac:dyDescent="0.25">
      <c r="B7" s="2" t="s">
        <v>59</v>
      </c>
      <c r="C7" s="2" t="s">
        <v>60</v>
      </c>
      <c r="D7" s="11" t="s">
        <v>56</v>
      </c>
    </row>
    <row r="8" spans="2:4" ht="15" customHeight="1" x14ac:dyDescent="0.25">
      <c r="B8" s="2" t="s">
        <v>61</v>
      </c>
      <c r="C8" s="2" t="s">
        <v>62</v>
      </c>
      <c r="D8" s="11" t="s">
        <v>56</v>
      </c>
    </row>
    <row r="9" spans="2:4" ht="15" customHeight="1" x14ac:dyDescent="0.25">
      <c r="B9" s="2" t="s">
        <v>63</v>
      </c>
      <c r="C9" s="2" t="s">
        <v>64</v>
      </c>
      <c r="D9" s="11" t="s">
        <v>56</v>
      </c>
    </row>
    <row r="10" spans="2:4" ht="15" customHeight="1" x14ac:dyDescent="0.25">
      <c r="B10" s="2" t="s">
        <v>65</v>
      </c>
      <c r="C10" s="2" t="s">
        <v>66</v>
      </c>
      <c r="D10" s="11" t="s">
        <v>56</v>
      </c>
    </row>
    <row r="11" spans="2:4" ht="15" customHeight="1" x14ac:dyDescent="0.25">
      <c r="B11" s="2" t="s">
        <v>67</v>
      </c>
      <c r="C11" s="2" t="s">
        <v>68</v>
      </c>
      <c r="D11" s="11" t="s">
        <v>56</v>
      </c>
    </row>
    <row r="12" spans="2:4" ht="15" customHeight="1" x14ac:dyDescent="0.25">
      <c r="B12" s="2" t="s">
        <v>69</v>
      </c>
      <c r="C12" s="2" t="s">
        <v>70</v>
      </c>
      <c r="D12" s="2" t="s">
        <v>71</v>
      </c>
    </row>
    <row r="14" spans="2:4" ht="15" customHeight="1" x14ac:dyDescent="0.25">
      <c r="B14" s="21" t="s">
        <v>72</v>
      </c>
      <c r="C14" s="21" t="s">
        <v>73</v>
      </c>
      <c r="D14" s="21" t="s">
        <v>74</v>
      </c>
    </row>
    <row r="15" spans="2:4" ht="15" customHeight="1" x14ac:dyDescent="0.25">
      <c r="B15" s="21"/>
      <c r="C15" s="21"/>
      <c r="D15" s="21"/>
    </row>
    <row r="16" spans="2:4" ht="15" customHeight="1" x14ac:dyDescent="0.25">
      <c r="B16" s="21"/>
      <c r="C16" s="21"/>
      <c r="D16" s="21"/>
    </row>
    <row r="17" spans="2:4" ht="15" customHeight="1" x14ac:dyDescent="0.25">
      <c r="B17" s="2" t="s">
        <v>75</v>
      </c>
      <c r="C17" s="12">
        <v>12</v>
      </c>
      <c r="D17" s="12"/>
    </row>
    <row r="18" spans="2:4" ht="15" customHeight="1" x14ac:dyDescent="0.25">
      <c r="B18" s="2" t="s">
        <v>76</v>
      </c>
      <c r="C18" s="12">
        <f>Serviços!D12</f>
        <v>18</v>
      </c>
      <c r="D18" s="12"/>
    </row>
    <row r="19" spans="2:4" ht="15" customHeight="1" x14ac:dyDescent="0.25">
      <c r="B19" s="2" t="s">
        <v>77</v>
      </c>
      <c r="C19" s="12">
        <f>C18/C17</f>
        <v>1.5</v>
      </c>
      <c r="D19" s="12"/>
    </row>
    <row r="20" spans="2:4" ht="15" customHeight="1" x14ac:dyDescent="0.25">
      <c r="B20" s="2" t="s">
        <v>78</v>
      </c>
      <c r="C20" s="12">
        <v>2</v>
      </c>
      <c r="D20" s="12" t="str">
        <f>IF(C19&lt;=C20,"OK","REVISAR")</f>
        <v>OK</v>
      </c>
    </row>
    <row r="21" spans="2:4" ht="15" customHeight="1" x14ac:dyDescent="0.25">
      <c r="B21" s="2" t="s">
        <v>79</v>
      </c>
      <c r="C21" s="12">
        <v>64</v>
      </c>
      <c r="D21" s="12"/>
    </row>
    <row r="22" spans="2:4" ht="15" customHeight="1" x14ac:dyDescent="0.25">
      <c r="B22" s="2" t="s">
        <v>80</v>
      </c>
      <c r="C22" s="13">
        <f>Serviços!E12</f>
        <v>52</v>
      </c>
      <c r="D22" s="12"/>
    </row>
    <row r="23" spans="2:4" ht="15" customHeight="1" x14ac:dyDescent="0.25">
      <c r="B23" s="2" t="s">
        <v>81</v>
      </c>
      <c r="C23" s="12">
        <f>C21-C22</f>
        <v>12</v>
      </c>
      <c r="D23" s="12"/>
    </row>
    <row r="24" spans="2:4" ht="15" customHeight="1" x14ac:dyDescent="0.25">
      <c r="B24" s="2" t="s">
        <v>82</v>
      </c>
      <c r="C24" s="14">
        <f>C23/C21</f>
        <v>0.1875</v>
      </c>
      <c r="D24" s="12"/>
    </row>
    <row r="25" spans="2:4" ht="15" customHeight="1" x14ac:dyDescent="0.25">
      <c r="B25" s="2" t="s">
        <v>83</v>
      </c>
      <c r="C25" s="15">
        <v>0.15</v>
      </c>
      <c r="D25" s="12" t="str">
        <f>IF(C24&gt;=C25,"OK","REVISAR")</f>
        <v>OK</v>
      </c>
    </row>
    <row r="26" spans="2:4" ht="15" customHeight="1" x14ac:dyDescent="0.25">
      <c r="B26" s="2" t="s">
        <v>84</v>
      </c>
      <c r="C26" s="16">
        <f>Serviços!F12</f>
        <v>2180</v>
      </c>
      <c r="D26" s="12"/>
    </row>
    <row r="27" spans="2:4" ht="15" customHeight="1" x14ac:dyDescent="0.25">
      <c r="B27" s="2" t="s">
        <v>85</v>
      </c>
      <c r="C27" s="14">
        <v>0.3</v>
      </c>
      <c r="D27" s="12"/>
    </row>
    <row r="28" spans="2:4" ht="15" customHeight="1" x14ac:dyDescent="0.25">
      <c r="B28" s="2" t="s">
        <v>86</v>
      </c>
      <c r="C28" s="16">
        <f>C26*(1+C27)</f>
        <v>2834</v>
      </c>
      <c r="D28" s="12"/>
    </row>
    <row r="29" spans="2:4" ht="15" customHeight="1" x14ac:dyDescent="0.25">
      <c r="B29" s="2" t="s">
        <v>87</v>
      </c>
      <c r="C29" s="16">
        <f>RAID!C14*1000</f>
        <v>3840</v>
      </c>
      <c r="D29" s="12"/>
    </row>
    <row r="30" spans="2:4" ht="15" customHeight="1" x14ac:dyDescent="0.25">
      <c r="B30" s="2" t="s">
        <v>88</v>
      </c>
      <c r="C30" s="14">
        <f>C28/C29</f>
        <v>0.73802083333333335</v>
      </c>
      <c r="D30" s="12" t="str">
        <f>IF(C28&lt;=C29,"OK","REVISAR")</f>
        <v>OK</v>
      </c>
    </row>
  </sheetData>
  <mergeCells count="6">
    <mergeCell ref="B2:B4"/>
    <mergeCell ref="C2:C4"/>
    <mergeCell ref="D2:D4"/>
    <mergeCell ref="B14:B16"/>
    <mergeCell ref="C14:C16"/>
    <mergeCell ref="D14:D1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17"/>
  <sheetViews>
    <sheetView zoomScaleNormal="100" workbookViewId="0">
      <selection activeCell="C28" sqref="C28"/>
    </sheetView>
  </sheetViews>
  <sheetFormatPr defaultColWidth="8.5703125" defaultRowHeight="15" x14ac:dyDescent="0.25"/>
  <cols>
    <col min="2" max="2" width="28.7109375" customWidth="1"/>
    <col min="3" max="3" width="81.5703125" customWidth="1"/>
  </cols>
  <sheetData>
    <row r="2" spans="2:3" ht="15" customHeight="1" x14ac:dyDescent="0.25">
      <c r="B2" s="2" t="s">
        <v>89</v>
      </c>
      <c r="C2" s="17">
        <f>Serviços!F12/1000</f>
        <v>2.1800000000000002</v>
      </c>
    </row>
    <row r="3" spans="2:3" ht="15" customHeight="1" x14ac:dyDescent="0.25">
      <c r="B3" s="2" t="s">
        <v>90</v>
      </c>
      <c r="C3" s="18">
        <v>0.03</v>
      </c>
    </row>
    <row r="4" spans="2:3" ht="15" customHeight="1" x14ac:dyDescent="0.25">
      <c r="B4" s="2" t="s">
        <v>91</v>
      </c>
      <c r="C4" s="17">
        <v>30</v>
      </c>
    </row>
    <row r="5" spans="2:3" ht="15" customHeight="1" x14ac:dyDescent="0.25">
      <c r="B5" s="2" t="s">
        <v>85</v>
      </c>
      <c r="C5" s="18">
        <v>0.3</v>
      </c>
    </row>
    <row r="6" spans="2:3" ht="15" customHeight="1" x14ac:dyDescent="0.25">
      <c r="B6" s="2" t="s">
        <v>92</v>
      </c>
      <c r="C6" s="17">
        <f>C2</f>
        <v>2.1800000000000002</v>
      </c>
    </row>
    <row r="7" spans="2:3" ht="15" customHeight="1" x14ac:dyDescent="0.25">
      <c r="B7" s="2" t="s">
        <v>93</v>
      </c>
      <c r="C7" s="17">
        <f>C2*C3*C4</f>
        <v>1.962</v>
      </c>
    </row>
    <row r="8" spans="2:3" ht="15" customHeight="1" x14ac:dyDescent="0.25">
      <c r="B8" s="2" t="s">
        <v>94</v>
      </c>
      <c r="C8" s="17">
        <f>C6+C7</f>
        <v>4.1420000000000003</v>
      </c>
    </row>
    <row r="9" spans="2:3" ht="15" customHeight="1" x14ac:dyDescent="0.25">
      <c r="B9" s="2" t="s">
        <v>95</v>
      </c>
      <c r="C9" s="17">
        <f>C8*(1+C5)</f>
        <v>5.3846000000000007</v>
      </c>
    </row>
    <row r="10" spans="2:3" ht="15" customHeight="1" x14ac:dyDescent="0.25">
      <c r="B10" s="2" t="s">
        <v>96</v>
      </c>
      <c r="C10" s="17">
        <v>2</v>
      </c>
    </row>
    <row r="11" spans="2:3" ht="15" customHeight="1" x14ac:dyDescent="0.25">
      <c r="B11" s="2" t="s">
        <v>48</v>
      </c>
      <c r="C11" s="17">
        <v>8</v>
      </c>
    </row>
    <row r="12" spans="2:3" ht="15" customHeight="1" x14ac:dyDescent="0.25">
      <c r="B12" s="2" t="s">
        <v>97</v>
      </c>
      <c r="C12" s="17">
        <f>C11</f>
        <v>8</v>
      </c>
    </row>
    <row r="13" spans="2:3" ht="15" customHeight="1" x14ac:dyDescent="0.25">
      <c r="B13" s="2" t="s">
        <v>98</v>
      </c>
      <c r="C13" s="18">
        <f>C9/C12</f>
        <v>0.67307500000000009</v>
      </c>
    </row>
    <row r="14" spans="2:3" ht="15" customHeight="1" x14ac:dyDescent="0.25">
      <c r="B14" s="2" t="s">
        <v>74</v>
      </c>
      <c r="C14" s="17" t="str">
        <f>IF(C9&lt;=C12,"OK: cabe no NAS","INSUFICIENTE")</f>
        <v>OK: cabe no NAS</v>
      </c>
    </row>
    <row r="15" spans="2:3" ht="15" customHeight="1" x14ac:dyDescent="0.25">
      <c r="B15" s="2"/>
      <c r="C15" s="17"/>
    </row>
    <row r="16" spans="2:3" x14ac:dyDescent="0.25">
      <c r="B16" s="2" t="s">
        <v>99</v>
      </c>
      <c r="C16" s="7" t="s">
        <v>100</v>
      </c>
    </row>
    <row r="17" spans="2:3" ht="15" customHeight="1" x14ac:dyDescent="0.25">
      <c r="B17" s="4" t="s">
        <v>53</v>
      </c>
      <c r="C17" s="11" t="s">
        <v>56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6"/>
  <sheetViews>
    <sheetView zoomScaleNormal="100" workbookViewId="0">
      <selection activeCell="C33" sqref="C33"/>
    </sheetView>
  </sheetViews>
  <sheetFormatPr defaultColWidth="8.5703125" defaultRowHeight="15" x14ac:dyDescent="0.25"/>
  <cols>
    <col min="2" max="2" width="35.5703125" customWidth="1"/>
    <col min="3" max="3" width="72.140625" customWidth="1"/>
    <col min="4" max="4" width="9.7109375" customWidth="1"/>
    <col min="5" max="5" width="11.85546875" customWidth="1"/>
  </cols>
  <sheetData>
    <row r="2" spans="2:5" ht="15" customHeight="1" x14ac:dyDescent="0.25">
      <c r="B2" s="21" t="s">
        <v>99</v>
      </c>
      <c r="C2" s="21" t="s">
        <v>101</v>
      </c>
      <c r="D2" s="21" t="s">
        <v>102</v>
      </c>
      <c r="E2" s="21" t="s">
        <v>103</v>
      </c>
    </row>
    <row r="3" spans="2:5" ht="15" customHeight="1" x14ac:dyDescent="0.25">
      <c r="B3" s="21"/>
      <c r="C3" s="21"/>
      <c r="D3" s="21"/>
      <c r="E3" s="21"/>
    </row>
    <row r="4" spans="2:5" ht="15" customHeight="1" x14ac:dyDescent="0.25">
      <c r="B4" s="21"/>
      <c r="C4" s="21"/>
      <c r="D4" s="21"/>
      <c r="E4" s="21"/>
    </row>
    <row r="5" spans="2:5" ht="15" customHeight="1" x14ac:dyDescent="0.25">
      <c r="B5" s="2" t="s">
        <v>104</v>
      </c>
      <c r="C5" s="12">
        <v>250</v>
      </c>
      <c r="D5" s="12">
        <v>1</v>
      </c>
      <c r="E5" s="12">
        <f>C5*D5</f>
        <v>250</v>
      </c>
    </row>
    <row r="6" spans="2:5" ht="15" customHeight="1" x14ac:dyDescent="0.25">
      <c r="B6" s="2" t="s">
        <v>105</v>
      </c>
      <c r="C6" s="12">
        <v>40</v>
      </c>
      <c r="D6" s="12">
        <v>1</v>
      </c>
      <c r="E6" s="12">
        <f>C6*D6</f>
        <v>40</v>
      </c>
    </row>
    <row r="7" spans="2:5" ht="15" customHeight="1" x14ac:dyDescent="0.25">
      <c r="B7" s="2" t="s">
        <v>106</v>
      </c>
      <c r="C7" s="12">
        <v>40</v>
      </c>
      <c r="D7" s="12">
        <v>1</v>
      </c>
      <c r="E7" s="12">
        <f>C7*D7</f>
        <v>40</v>
      </c>
    </row>
    <row r="8" spans="2:5" ht="15" customHeight="1" x14ac:dyDescent="0.25">
      <c r="B8" s="2" t="s">
        <v>107</v>
      </c>
      <c r="C8" s="12">
        <v>100</v>
      </c>
      <c r="D8" s="12">
        <v>1</v>
      </c>
      <c r="E8" s="12">
        <f>C8*D8</f>
        <v>100</v>
      </c>
    </row>
    <row r="9" spans="2:5" ht="15" customHeight="1" x14ac:dyDescent="0.25">
      <c r="B9" s="19" t="s">
        <v>27</v>
      </c>
      <c r="C9" s="1"/>
      <c r="D9" s="1"/>
      <c r="E9" s="1">
        <f>SUM(E5:E8)</f>
        <v>430</v>
      </c>
    </row>
    <row r="10" spans="2:5" ht="15" customHeight="1" x14ac:dyDescent="0.25">
      <c r="C10" s="20"/>
      <c r="D10" s="20"/>
      <c r="E10" s="20"/>
    </row>
    <row r="11" spans="2:5" ht="15" customHeight="1" x14ac:dyDescent="0.25">
      <c r="B11" s="2" t="s">
        <v>108</v>
      </c>
      <c r="C11" s="14">
        <v>0.3</v>
      </c>
      <c r="D11" s="20"/>
      <c r="E11" s="20"/>
    </row>
    <row r="12" spans="2:5" ht="15" customHeight="1" x14ac:dyDescent="0.25">
      <c r="B12" s="2" t="s">
        <v>109</v>
      </c>
      <c r="C12" s="12">
        <f>E9*(1+C11)</f>
        <v>559</v>
      </c>
      <c r="D12" s="20"/>
      <c r="E12" s="20"/>
    </row>
    <row r="13" spans="2:5" ht="15" customHeight="1" x14ac:dyDescent="0.25">
      <c r="B13" s="2" t="s">
        <v>110</v>
      </c>
      <c r="C13" s="14">
        <v>0.9</v>
      </c>
      <c r="D13" s="20"/>
      <c r="E13" s="20"/>
    </row>
    <row r="14" spans="2:5" ht="15" customHeight="1" x14ac:dyDescent="0.25">
      <c r="B14" s="2" t="s">
        <v>111</v>
      </c>
      <c r="C14" s="12">
        <f>C12/C13</f>
        <v>621.11111111111109</v>
      </c>
      <c r="D14" s="20"/>
      <c r="E14" s="20"/>
    </row>
    <row r="15" spans="2:5" ht="27.75" customHeight="1" x14ac:dyDescent="0.25">
      <c r="B15" s="2" t="s">
        <v>112</v>
      </c>
      <c r="C15" s="7" t="s">
        <v>113</v>
      </c>
      <c r="D15" s="20"/>
      <c r="E15" s="20"/>
    </row>
    <row r="16" spans="2:5" ht="15" customHeight="1" x14ac:dyDescent="0.25">
      <c r="B16" s="2" t="s">
        <v>114</v>
      </c>
      <c r="C16" s="12">
        <v>1050</v>
      </c>
      <c r="D16" s="20"/>
      <c r="E16" s="20"/>
    </row>
    <row r="17" spans="2:5" ht="15" customHeight="1" x14ac:dyDescent="0.25">
      <c r="B17" s="2" t="s">
        <v>115</v>
      </c>
      <c r="C17" s="12">
        <v>1500</v>
      </c>
      <c r="D17" s="20"/>
      <c r="E17" s="20"/>
    </row>
    <row r="18" spans="2:5" ht="15" customHeight="1" x14ac:dyDescent="0.25">
      <c r="B18" s="2" t="s">
        <v>116</v>
      </c>
      <c r="C18" s="14">
        <f>E9/C16</f>
        <v>0.40952380952380951</v>
      </c>
      <c r="D18" s="20"/>
      <c r="E18" s="20"/>
    </row>
    <row r="19" spans="2:5" ht="15" customHeight="1" x14ac:dyDescent="0.25">
      <c r="B19" s="2" t="s">
        <v>117</v>
      </c>
      <c r="C19" s="12" t="str">
        <f>IF(AND(C12&lt;=C16,C14&lt;=C17),"OK","REVISAR")</f>
        <v>OK</v>
      </c>
      <c r="D19" s="20"/>
      <c r="E19" s="20"/>
    </row>
    <row r="20" spans="2:5" ht="15" customHeight="1" x14ac:dyDescent="0.25">
      <c r="B20" s="2" t="s">
        <v>118</v>
      </c>
      <c r="C20" s="7" t="s">
        <v>119</v>
      </c>
      <c r="D20" s="20"/>
      <c r="E20" s="20"/>
    </row>
    <row r="21" spans="2:5" ht="15" customHeight="1" x14ac:dyDescent="0.25">
      <c r="B21" s="2" t="s">
        <v>120</v>
      </c>
      <c r="C21" s="12" t="str">
        <f>IF(E9&lt;=525,"mais de 22 min (carga abaixo de 525 W)","entre 8 e 22 min")</f>
        <v>mais de 22 min (carga abaixo de 525 W)</v>
      </c>
      <c r="D21" s="20"/>
      <c r="E21" s="20"/>
    </row>
    <row r="22" spans="2:5" ht="15" customHeight="1" x14ac:dyDescent="0.25">
      <c r="B22" s="2" t="s">
        <v>121</v>
      </c>
      <c r="C22" s="12">
        <v>10</v>
      </c>
      <c r="D22" s="20"/>
      <c r="E22" s="20"/>
    </row>
    <row r="23" spans="2:5" ht="15" customHeight="1" x14ac:dyDescent="0.25">
      <c r="B23" s="2" t="s">
        <v>122</v>
      </c>
      <c r="C23" s="12" t="str">
        <f>IF(E9&lt;=525,"OK","CONFERIR NA CURVA DO FABRICANTE")</f>
        <v>OK</v>
      </c>
      <c r="D23" s="20"/>
      <c r="E23" s="20"/>
    </row>
    <row r="24" spans="2:5" ht="15" customHeight="1" x14ac:dyDescent="0.25">
      <c r="B24" s="2"/>
      <c r="C24" s="2"/>
    </row>
    <row r="25" spans="2:5" ht="15" customHeight="1" x14ac:dyDescent="0.25">
      <c r="B25" s="23" t="s">
        <v>123</v>
      </c>
      <c r="C25" s="23" t="s">
        <v>56</v>
      </c>
    </row>
    <row r="26" spans="2:5" ht="15" customHeight="1" x14ac:dyDescent="0.25">
      <c r="B26" s="23"/>
      <c r="C26" s="23"/>
    </row>
  </sheetData>
  <mergeCells count="6">
    <mergeCell ref="B2:B4"/>
    <mergeCell ref="C2:C4"/>
    <mergeCell ref="D2:D4"/>
    <mergeCell ref="E2:E4"/>
    <mergeCell ref="B25:B26"/>
    <mergeCell ref="C25:C2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1"/>
  <sheetViews>
    <sheetView zoomScaleNormal="100" workbookViewId="0">
      <selection activeCell="E10" sqref="E10"/>
    </sheetView>
  </sheetViews>
  <sheetFormatPr defaultColWidth="8.5703125" defaultRowHeight="15" x14ac:dyDescent="0.25"/>
  <cols>
    <col min="2" max="2" width="43.28515625" customWidth="1"/>
    <col min="3" max="3" width="105.7109375" customWidth="1"/>
    <col min="4" max="4" width="16" customWidth="1"/>
    <col min="5" max="5" width="59" customWidth="1"/>
  </cols>
  <sheetData>
    <row r="2" spans="2:5" ht="15" customHeight="1" x14ac:dyDescent="0.25">
      <c r="B2" s="21" t="s">
        <v>124</v>
      </c>
      <c r="C2" s="21" t="s">
        <v>125</v>
      </c>
      <c r="D2" s="21" t="s">
        <v>126</v>
      </c>
      <c r="E2" s="21" t="s">
        <v>5</v>
      </c>
    </row>
    <row r="3" spans="2:5" ht="15" customHeight="1" x14ac:dyDescent="0.25">
      <c r="B3" s="21"/>
      <c r="C3" s="21"/>
      <c r="D3" s="21"/>
      <c r="E3" s="21"/>
    </row>
    <row r="4" spans="2:5" ht="15" customHeight="1" x14ac:dyDescent="0.25">
      <c r="B4" s="21"/>
      <c r="C4" s="21"/>
      <c r="D4" s="21"/>
      <c r="E4" s="21"/>
    </row>
    <row r="5" spans="2:5" ht="15" customHeight="1" x14ac:dyDescent="0.25">
      <c r="B5" s="2" t="s">
        <v>127</v>
      </c>
      <c r="C5" s="2" t="s">
        <v>128</v>
      </c>
      <c r="D5" s="2" t="s">
        <v>129</v>
      </c>
      <c r="E5" s="2" t="s">
        <v>130</v>
      </c>
    </row>
    <row r="6" spans="2:5" ht="15" customHeight="1" x14ac:dyDescent="0.25">
      <c r="B6" s="2" t="s">
        <v>131</v>
      </c>
      <c r="C6" s="2" t="s">
        <v>132</v>
      </c>
      <c r="D6" s="2" t="s">
        <v>129</v>
      </c>
      <c r="E6" s="2" t="s">
        <v>133</v>
      </c>
    </row>
    <row r="7" spans="2:5" ht="15" customHeight="1" x14ac:dyDescent="0.25">
      <c r="B7" s="2" t="s">
        <v>134</v>
      </c>
      <c r="C7" s="2" t="s">
        <v>135</v>
      </c>
      <c r="D7" s="2" t="s">
        <v>129</v>
      </c>
      <c r="E7" s="2" t="s">
        <v>136</v>
      </c>
    </row>
    <row r="8" spans="2:5" ht="15" customHeight="1" x14ac:dyDescent="0.25">
      <c r="B8" s="2" t="s">
        <v>137</v>
      </c>
      <c r="C8" s="2" t="s">
        <v>138</v>
      </c>
      <c r="D8" s="2" t="s">
        <v>139</v>
      </c>
      <c r="E8" s="2" t="s">
        <v>140</v>
      </c>
    </row>
    <row r="9" spans="2:5" ht="15" customHeight="1" x14ac:dyDescent="0.25">
      <c r="B9" s="2" t="s">
        <v>141</v>
      </c>
      <c r="C9" s="2" t="s">
        <v>142</v>
      </c>
      <c r="D9" s="2" t="s">
        <v>139</v>
      </c>
      <c r="E9" s="2" t="s">
        <v>143</v>
      </c>
    </row>
    <row r="10" spans="2:5" ht="15" customHeight="1" x14ac:dyDescent="0.25">
      <c r="B10" s="2" t="s">
        <v>144</v>
      </c>
      <c r="C10" s="2" t="s">
        <v>145</v>
      </c>
      <c r="D10" s="2" t="s">
        <v>146</v>
      </c>
      <c r="E10" s="2" t="s">
        <v>147</v>
      </c>
    </row>
    <row r="11" spans="2:5" ht="15" customHeight="1" x14ac:dyDescent="0.25">
      <c r="B11" s="2" t="s">
        <v>148</v>
      </c>
      <c r="C11" s="2" t="s">
        <v>149</v>
      </c>
      <c r="D11" s="2" t="s">
        <v>150</v>
      </c>
      <c r="E11" s="2" t="s">
        <v>151</v>
      </c>
    </row>
  </sheetData>
  <mergeCells count="4">
    <mergeCell ref="B2:B4"/>
    <mergeCell ref="C2:C4"/>
    <mergeCell ref="D2:D4"/>
    <mergeCell ref="E2:E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Serviços</vt:lpstr>
      <vt:lpstr>RAID</vt:lpstr>
      <vt:lpstr>Servidor</vt:lpstr>
      <vt:lpstr>Backup (NAS)</vt:lpstr>
      <vt:lpstr>Energia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Felipe Carvalho Leite</dc:creator>
  <dc:description/>
  <cp:lastModifiedBy>Luiz Felipe Carvalho Leite</cp:lastModifiedBy>
  <cp:revision>0</cp:revision>
  <dcterms:created xsi:type="dcterms:W3CDTF">2026-10-02T12:53:32Z</dcterms:created>
  <dcterms:modified xsi:type="dcterms:W3CDTF">2026-10-16T10:59:23Z</dcterms:modified>
  <dc:language>en-US</dc:language>
</cp:coreProperties>
</file>