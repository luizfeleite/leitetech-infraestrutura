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eitetech-infraestrutura\arquitetura\"/>
    </mc:Choice>
  </mc:AlternateContent>
  <xr:revisionPtr revIDLastSave="0" documentId="13_ncr:1_{3C5F2AA4-A52B-461E-9276-9E186860B5B8}" xr6:coauthVersionLast="47" xr6:coauthVersionMax="47" xr10:uidLastSave="{00000000-0000-0000-0000-000000000000}"/>
  <bookViews>
    <workbookView xWindow="-120" yWindow="-120" windowWidth="29040" windowHeight="15720" activeTab="2" xr2:uid="{A3CA7514-BCA2-4F59-B50F-9DE9525271F6}"/>
  </bookViews>
  <sheets>
    <sheet name="Perfis" sheetId="4" r:id="rId1"/>
    <sheet name="Configuração" sheetId="2" r:id="rId2"/>
    <sheet name="Compatibilidade" sheetId="3" r:id="rId3"/>
    <sheet name="Font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F11" i="4"/>
  <c r="D11" i="4"/>
</calcChain>
</file>

<file path=xl/sharedStrings.xml><?xml version="1.0" encoding="utf-8"?>
<sst xmlns="http://schemas.openxmlformats.org/spreadsheetml/2006/main" count="261" uniqueCount="130">
  <si>
    <t>Código</t>
  </si>
  <si>
    <t>Tipo</t>
  </si>
  <si>
    <t>Setores atendidos</t>
  </si>
  <si>
    <t>Desktops</t>
  </si>
  <si>
    <t>Notebooks</t>
  </si>
  <si>
    <t>Postos</t>
  </si>
  <si>
    <t>Aplicações principais</t>
  </si>
  <si>
    <t>Resumo da configuração</t>
  </si>
  <si>
    <t>PERFIL-OPE</t>
  </si>
  <si>
    <t>Operacional</t>
  </si>
  <si>
    <t>Recepção; Operações/Suporte</t>
  </si>
  <si>
    <t>Chamados, navegador, acesso remoto, Office</t>
  </si>
  <si>
    <t>Ryzen 5 8500G, 16 GB, SSD 500 GB</t>
  </si>
  <si>
    <t>PERFIL-ADM</t>
  </si>
  <si>
    <t>Administrativo</t>
  </si>
  <si>
    <t>Financeiro; RH; Comercial; Gerência de Projetos; Diretoria</t>
  </si>
  <si>
    <t>ERP, planilhas, CRM, videoconferência</t>
  </si>
  <si>
    <t>Ryzen 5 8600G, 16 GB, SSD 500 GB (desktop); notebook ThinkPad E14 Ryzen 5, 16 GB, 512 GB</t>
  </si>
  <si>
    <t>PERFIL-ESP</t>
  </si>
  <si>
    <t>Especializado</t>
  </si>
  <si>
    <t>Desenvolvimento; QA e Design; TI/Infraestrutura</t>
  </si>
  <si>
    <t>IDEs, Git, Docker, VMs, design gráfico, consoles de TI</t>
  </si>
  <si>
    <t>Ryzen 7 8700G, 32 GB, SSD 1 TB (desktop); notebook ThinkPad E14 Ryzen 7, 32 GB, 1 TB</t>
  </si>
  <si>
    <t>TOTAL</t>
  </si>
  <si>
    <t>OPE-DT</t>
  </si>
  <si>
    <t>CPU</t>
  </si>
  <si>
    <t>AMD Ryzen 5 8500G (100-100000931BOX)</t>
  </si>
  <si>
    <t>Confirmado</t>
  </si>
  <si>
    <t>Placa-mãe</t>
  </si>
  <si>
    <t>ASRock B650M-HDV/M.2 (90-MXBLA0-A0UAYZ)</t>
  </si>
  <si>
    <t>Memória RAM</t>
  </si>
  <si>
    <t>Kingston FURY Beast 16 GB (2×8 GB) DDR5-5600 CL40 (KF556C40BBK2-16)</t>
  </si>
  <si>
    <t>Armazenamento</t>
  </si>
  <si>
    <t>Kingston NV3 500 GB (SNV3S/500G)</t>
  </si>
  <si>
    <t>Fonte</t>
  </si>
  <si>
    <t>Corsair CV450 450 W 80 Plus Bronze</t>
  </si>
  <si>
    <t>A confirmar</t>
  </si>
  <si>
    <t>Gabinete</t>
  </si>
  <si>
    <t>Cooler Master MasterBox Q300L</t>
  </si>
  <si>
    <t>Cooler</t>
  </si>
  <si>
    <t>Monitor</t>
  </si>
  <si>
    <t>Dell P2425H 24" Full HD</t>
  </si>
  <si>
    <t>Teclado + mouse</t>
  </si>
  <si>
    <t>Logitech MK270 (combo sem fio)</t>
  </si>
  <si>
    <t>Headset</t>
  </si>
  <si>
    <t>Logitech H390 USB</t>
  </si>
  <si>
    <t>ADM-DT</t>
  </si>
  <si>
    <t>AMD Ryzen 5 8600G (100-100001237BOX)</t>
  </si>
  <si>
    <t>Webcam</t>
  </si>
  <si>
    <t>Logitech C270 HD</t>
  </si>
  <si>
    <t>ESP-DT</t>
  </si>
  <si>
    <t>AMD Ryzen 7 8700G (100-100001236BOX)</t>
  </si>
  <si>
    <t>Kingston FURY Beast 32 GB (2×16 GB) DDR5-5600 (KF556C40BBK2-32)</t>
  </si>
  <si>
    <t>Kingston NV3 1 TB (SNV3S/1000G)</t>
  </si>
  <si>
    <t>ESP-DT (Design, 3 un.)</t>
  </si>
  <si>
    <t>Mesa digitalizadora</t>
  </si>
  <si>
    <t>Wacom Intuos Small (CTL-4100)</t>
  </si>
  <si>
    <t>ADM-NB</t>
  </si>
  <si>
    <t>Notebook</t>
  </si>
  <si>
    <t>Lenovo ThinkPad E14 Gen 6 (AMD) Ryzen 5, 16 GB, SSD 512 GB</t>
  </si>
  <si>
    <t>ESP-NB</t>
  </si>
  <si>
    <t>Lenovo ThinkPad E14 Gen 6 (AMD) Ryzen 7, 32 GB, SSD 1 TB</t>
  </si>
  <si>
    <t>Perfil</t>
  </si>
  <si>
    <t>Componente</t>
  </si>
  <si>
    <t>Modelo</t>
  </si>
  <si>
    <t>Qtd por posto</t>
  </si>
  <si>
    <t>Status</t>
  </si>
  <si>
    <t>Cooler que acompanha a CPU</t>
  </si>
  <si>
    <t>Logitech MK270</t>
  </si>
  <si>
    <t>Verificação</t>
  </si>
  <si>
    <t>Resultado</t>
  </si>
  <si>
    <t>Fonte a consultar</t>
  </si>
  <si>
    <t>Compatível</t>
  </si>
  <si>
    <t>Páginas Kabum da CPU e da placa</t>
  </si>
  <si>
    <t>Risco: pode exigir atualização de BIOS</t>
  </si>
  <si>
    <t>Lista de CPUs suportadas no site da ASRock</t>
  </si>
  <si>
    <t>Páginas Kabum/Pichau (placa) e Kingston (memória)</t>
  </si>
  <si>
    <t>Ficha da CPU no site da AMD</t>
  </si>
  <si>
    <t>Fichas Kingston NV3 e placa</t>
  </si>
  <si>
    <t>Ficha da CPU (Galaxus)</t>
  </si>
  <si>
    <t>Título/ficha da placa na Kabum</t>
  </si>
  <si>
    <t>Ficha Cooler Master</t>
  </si>
  <si>
    <t>Ficha Corsair e cálculo de consumo</t>
  </si>
  <si>
    <t>Ficha Dell</t>
  </si>
  <si>
    <t>Ficha da CPU na AMD</t>
  </si>
  <si>
    <t>Expansão</t>
  </si>
  <si>
    <t>Registrado</t>
  </si>
  <si>
    <t>Ficha da placa</t>
  </si>
  <si>
    <t>CPU - placa-mãe (soquete)</t>
  </si>
  <si>
    <t>CPU série 8000G - BIOS da placa</t>
  </si>
  <si>
    <t>RAM - placa (tipo e quantidade)</t>
  </si>
  <si>
    <t>RAM - CPU (velocidade)</t>
  </si>
  <si>
    <t>SSD - placa (interface)</t>
  </si>
  <si>
    <t>SSD - CPU (PCIe)</t>
  </si>
  <si>
    <t>Vídeo integrado - saídas da placa</t>
  </si>
  <si>
    <t>Placa - gabinete (formato)</t>
  </si>
  <si>
    <t>Fonte - consumo</t>
  </si>
  <si>
    <t>Monitor - saídas de vídeo</t>
  </si>
  <si>
    <t>Cooler - soquete</t>
  </si>
  <si>
    <t>Item</t>
  </si>
  <si>
    <t>URL</t>
  </si>
  <si>
    <t>Data da consulta</t>
  </si>
  <si>
    <t>Observação</t>
  </si>
  <si>
    <t>Ryzen 5 8600G (preço e título)</t>
  </si>
  <si>
    <t>https://www.kabum.com.br/produto/520365/processador-amd-ryzen-5-8600g-4-3-ghz-5-0ghz-max-turbo-cache-6mb-6-nucleos-12-threads-am5-video-integrado-100-100001237box</t>
  </si>
  <si>
    <t>Ryzen 5 8600G (especificações: 65 W, Radeon 760M, DDR5, PCIe 4)</t>
  </si>
  <si>
    <t>https://galaxus.fr/en/s1/product/amd-ryzen-5-8600g-am5-430-ghz-6-core-processors-42390586</t>
  </si>
  <si>
    <t>Loja europeia, usada só para ficha técnica</t>
  </si>
  <si>
    <t>ASRock B650M-HDV/M.2</t>
  </si>
  <si>
    <t>https://www.kabum.com.br/produto/525050/placa-mae-asrock-b650m-hdv-m-2-amd-b650-matx-ddr5-preto-90-mxbla-</t>
  </si>
  <si>
    <t>Anúncio informa suporte às séries 8000 e 7000</t>
  </si>
  <si>
    <t>Kingston FURY Beast 2×8 GB DDR5-5600</t>
  </si>
  <si>
    <t>https://www.terabyteshop.com.br/produto/23965/memoria-ddr5-kingston-fury-beast-16gb-2x8gb-5600mhz-black-kf556c40bbk2-16</t>
  </si>
  <si>
    <t>Kingston NV3 500 GB (ficha técnica)</t>
  </si>
  <si>
    <t>https://scan.co.uk/3xs/products/info/3631900</t>
  </si>
  <si>
    <t>Preço varia muito entre lojas</t>
  </si>
  <si>
    <t>Marcado como indisponível nessa loja</t>
  </si>
  <si>
    <t>Detalhe</t>
  </si>
  <si>
    <t>A CPU 8600G suporta PCIe até 4.0, igual ao SSD (sem gargalo)</t>
  </si>
  <si>
    <t>Cooler boxed da CPU é fornecido para AM5</t>
  </si>
  <si>
    <t>Ryzen 8500G/8600G/8700G são AM5, a placa é AM5</t>
  </si>
  <si>
    <t>Um anúncio da placa lista suporte às séries 8000 e 7000, outros anúncios citam só a série 7000. Verificar a lista de CPUs da ASRock e a versão de BIOS</t>
  </si>
  <si>
    <t>DDR5 sem buffer, non-ECC, placa tem 2 slots DIMM e aceita non-ECC, kits de 2 módulos usam os 2 slots em dual channel</t>
  </si>
  <si>
    <t>Kit DDR5-5600, confirmar a velocidade máxima oficial da série 8000G na AMD (pode rodar abaixo de 5600 sem prejuízo ao uso)</t>
  </si>
  <si>
    <t>M.2 2280 NVMe PCIe 4.0 x4, a placa tem slot M.2 (Gen5 anunciado, retrocompatível)</t>
  </si>
  <si>
    <t>Sem GPU dedicada, a placa tem HDMI e DisplayPort, suficientes para 2 monitores no ESP</t>
  </si>
  <si>
    <t>Placa mATX, gabinete aceita mATX</t>
  </si>
  <si>
    <t>CPU de 65 W TDP, sem GPU, 450 W cobre com folga</t>
  </si>
  <si>
    <t>P2425H tem HDMI e DisplayPort, placa tem HDMI e DisplayPort</t>
  </si>
  <si>
    <t>2 slots DIMM ocupados (ampliar exige trocar o kit), slot PCIe livre para GPU futura (ex.: Design), troca de CPU dentro do 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</si>
</sst>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AB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CA95-D0BD-4190-89E5-729E66C3C994}">
  <dimension ref="A2:H13"/>
  <sheetViews>
    <sheetView workbookViewId="0">
      <selection activeCell="C21" sqref="C21"/>
    </sheetView>
  </sheetViews>
  <sheetFormatPr defaultRowHeight="15" x14ac:dyDescent="0.25"/>
  <cols>
    <col min="1" max="1" width="11.42578125" bestFit="1" customWidth="1"/>
    <col min="2" max="2" width="14" bestFit="1" customWidth="1"/>
    <col min="3" max="3" width="53.140625" bestFit="1" customWidth="1"/>
    <col min="5" max="5" width="10.5703125" bestFit="1" customWidth="1"/>
    <col min="6" max="6" width="7" bestFit="1" customWidth="1"/>
    <col min="7" max="7" width="48.42578125" bestFit="1" customWidth="1"/>
    <col min="8" max="8" width="81.85546875" bestFit="1" customWidth="1"/>
  </cols>
  <sheetData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5"/>
      <c r="B4" s="5"/>
      <c r="C4" s="5"/>
      <c r="D4" s="5"/>
      <c r="E4" s="5"/>
      <c r="F4" s="5"/>
      <c r="G4" s="5"/>
      <c r="H4" s="5"/>
    </row>
    <row r="5" spans="1:8" x14ac:dyDescent="0.25">
      <c r="A5" s="7" t="s">
        <v>8</v>
      </c>
      <c r="B5" s="7" t="s">
        <v>9</v>
      </c>
      <c r="C5" s="7" t="s">
        <v>10</v>
      </c>
      <c r="D5" s="7">
        <v>10</v>
      </c>
      <c r="E5" s="7">
        <v>0</v>
      </c>
      <c r="F5" s="7">
        <v>10</v>
      </c>
      <c r="G5" s="7" t="s">
        <v>11</v>
      </c>
      <c r="H5" s="7" t="s">
        <v>12</v>
      </c>
    </row>
    <row r="6" spans="1:8" x14ac:dyDescent="0.25">
      <c r="A6" s="7"/>
      <c r="B6" s="7"/>
      <c r="C6" s="7"/>
      <c r="D6" s="7"/>
      <c r="E6" s="7"/>
      <c r="F6" s="7"/>
      <c r="G6" s="7"/>
      <c r="H6" s="7"/>
    </row>
    <row r="7" spans="1:8" x14ac:dyDescent="0.25">
      <c r="A7" s="7" t="s">
        <v>13</v>
      </c>
      <c r="B7" s="7" t="s">
        <v>14</v>
      </c>
      <c r="C7" s="7" t="s">
        <v>15</v>
      </c>
      <c r="D7" s="7">
        <v>11</v>
      </c>
      <c r="E7" s="7">
        <v>9</v>
      </c>
      <c r="F7" s="7">
        <v>20</v>
      </c>
      <c r="G7" s="7" t="s">
        <v>16</v>
      </c>
      <c r="H7" s="7" t="s">
        <v>17</v>
      </c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 t="s">
        <v>18</v>
      </c>
      <c r="B9" s="7" t="s">
        <v>19</v>
      </c>
      <c r="C9" s="7" t="s">
        <v>20</v>
      </c>
      <c r="D9" s="7">
        <v>19</v>
      </c>
      <c r="E9" s="7">
        <v>1</v>
      </c>
      <c r="F9" s="7">
        <v>20</v>
      </c>
      <c r="G9" s="7" t="s">
        <v>21</v>
      </c>
      <c r="H9" s="7" t="s">
        <v>22</v>
      </c>
    </row>
    <row r="10" spans="1:8" x14ac:dyDescent="0.25">
      <c r="A10" s="7"/>
      <c r="B10" s="7"/>
      <c r="C10" s="7"/>
      <c r="D10" s="7"/>
      <c r="E10" s="7"/>
      <c r="F10" s="7"/>
      <c r="G10" s="7"/>
      <c r="H10" s="7"/>
    </row>
    <row r="11" spans="1:8" x14ac:dyDescent="0.25">
      <c r="A11" s="6"/>
      <c r="B11" s="6"/>
      <c r="C11" s="6" t="s">
        <v>23</v>
      </c>
      <c r="D11" s="6">
        <f>SUM(D5:D10)</f>
        <v>40</v>
      </c>
      <c r="E11" s="6">
        <f t="shared" ref="E11:F11" si="0">SUM(E5:E10)</f>
        <v>10</v>
      </c>
      <c r="F11" s="6">
        <f t="shared" si="0"/>
        <v>50</v>
      </c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</sheetData>
  <mergeCells count="40">
    <mergeCell ref="F2:F4"/>
    <mergeCell ref="G2:G4"/>
    <mergeCell ref="H2:H4"/>
    <mergeCell ref="A2:A4"/>
    <mergeCell ref="B2:B4"/>
    <mergeCell ref="C2:C4"/>
    <mergeCell ref="D2:D4"/>
    <mergeCell ref="E2:E4"/>
    <mergeCell ref="G5:G6"/>
    <mergeCell ref="H5:H6"/>
    <mergeCell ref="A5:A6"/>
    <mergeCell ref="B5:B6"/>
    <mergeCell ref="C5:C6"/>
    <mergeCell ref="D5:D6"/>
    <mergeCell ref="E5:E6"/>
    <mergeCell ref="F5:F6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7:F8"/>
    <mergeCell ref="G11:G13"/>
    <mergeCell ref="H11:H13"/>
    <mergeCell ref="A11:A13"/>
    <mergeCell ref="B11:B13"/>
    <mergeCell ref="C11:C13"/>
    <mergeCell ref="D11:D13"/>
    <mergeCell ref="E11:E13"/>
    <mergeCell ref="F11:F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A63C-1BE6-4F0C-AC44-64F5D0E095F9}">
  <dimension ref="A2:E41"/>
  <sheetViews>
    <sheetView workbookViewId="0">
      <selection activeCell="A2" sqref="A2:A4"/>
    </sheetView>
  </sheetViews>
  <sheetFormatPr defaultRowHeight="15" x14ac:dyDescent="0.25"/>
  <cols>
    <col min="1" max="1" width="20.5703125" bestFit="1" customWidth="1"/>
    <col min="2" max="2" width="18.7109375" bestFit="1" customWidth="1"/>
    <col min="3" max="3" width="65.28515625" bestFit="1" customWidth="1"/>
    <col min="4" max="4" width="13.42578125" bestFit="1" customWidth="1"/>
    <col min="5" max="5" width="15.140625" customWidth="1"/>
  </cols>
  <sheetData>
    <row r="2" spans="1:5" x14ac:dyDescent="0.25">
      <c r="A2" s="5" t="s">
        <v>62</v>
      </c>
      <c r="B2" s="5" t="s">
        <v>63</v>
      </c>
      <c r="C2" s="5" t="s">
        <v>64</v>
      </c>
      <c r="D2" s="5" t="s">
        <v>65</v>
      </c>
      <c r="E2" s="6" t="s">
        <v>66</v>
      </c>
    </row>
    <row r="3" spans="1:5" x14ac:dyDescent="0.25">
      <c r="A3" s="5"/>
      <c r="B3" s="5"/>
      <c r="C3" s="5"/>
      <c r="D3" s="5"/>
      <c r="E3" s="6"/>
    </row>
    <row r="4" spans="1:5" x14ac:dyDescent="0.25">
      <c r="A4" s="5"/>
      <c r="B4" s="5"/>
      <c r="C4" s="5"/>
      <c r="D4" s="5"/>
      <c r="E4" s="6"/>
    </row>
    <row r="5" spans="1:5" x14ac:dyDescent="0.25">
      <c r="A5" s="1" t="s">
        <v>24</v>
      </c>
      <c r="B5" s="1" t="s">
        <v>25</v>
      </c>
      <c r="C5" s="1" t="s">
        <v>26</v>
      </c>
      <c r="D5" s="1">
        <v>1</v>
      </c>
      <c r="E5" s="2" t="s">
        <v>27</v>
      </c>
    </row>
    <row r="6" spans="1:5" x14ac:dyDescent="0.25">
      <c r="A6" s="1" t="s">
        <v>24</v>
      </c>
      <c r="B6" s="1" t="s">
        <v>28</v>
      </c>
      <c r="C6" s="1" t="s">
        <v>29</v>
      </c>
      <c r="D6" s="1">
        <v>1</v>
      </c>
      <c r="E6" s="2" t="s">
        <v>27</v>
      </c>
    </row>
    <row r="7" spans="1:5" x14ac:dyDescent="0.25">
      <c r="A7" s="1" t="s">
        <v>24</v>
      </c>
      <c r="B7" s="1" t="s">
        <v>30</v>
      </c>
      <c r="C7" s="1" t="s">
        <v>31</v>
      </c>
      <c r="D7" s="1">
        <v>1</v>
      </c>
      <c r="E7" s="2" t="s">
        <v>27</v>
      </c>
    </row>
    <row r="8" spans="1:5" x14ac:dyDescent="0.25">
      <c r="A8" s="1" t="s">
        <v>24</v>
      </c>
      <c r="B8" s="1" t="s">
        <v>32</v>
      </c>
      <c r="C8" s="1" t="s">
        <v>33</v>
      </c>
      <c r="D8" s="1">
        <v>1</v>
      </c>
      <c r="E8" s="2" t="s">
        <v>27</v>
      </c>
    </row>
    <row r="9" spans="1:5" x14ac:dyDescent="0.25">
      <c r="A9" s="1" t="s">
        <v>24</v>
      </c>
      <c r="B9" s="1" t="s">
        <v>34</v>
      </c>
      <c r="C9" s="1" t="s">
        <v>35</v>
      </c>
      <c r="D9" s="1">
        <v>1</v>
      </c>
      <c r="E9" s="3" t="s">
        <v>36</v>
      </c>
    </row>
    <row r="10" spans="1:5" x14ac:dyDescent="0.25">
      <c r="A10" s="1" t="s">
        <v>24</v>
      </c>
      <c r="B10" s="1" t="s">
        <v>37</v>
      </c>
      <c r="C10" s="1" t="s">
        <v>38</v>
      </c>
      <c r="D10" s="1">
        <v>1</v>
      </c>
      <c r="E10" s="3" t="s">
        <v>36</v>
      </c>
    </row>
    <row r="11" spans="1:5" x14ac:dyDescent="0.25">
      <c r="A11" s="1" t="s">
        <v>24</v>
      </c>
      <c r="B11" s="1" t="s">
        <v>39</v>
      </c>
      <c r="C11" s="1" t="s">
        <v>67</v>
      </c>
      <c r="D11" s="1">
        <v>1</v>
      </c>
      <c r="E11" s="3" t="s">
        <v>36</v>
      </c>
    </row>
    <row r="12" spans="1:5" x14ac:dyDescent="0.25">
      <c r="A12" s="1" t="s">
        <v>24</v>
      </c>
      <c r="B12" s="1" t="s">
        <v>40</v>
      </c>
      <c r="C12" s="1" t="s">
        <v>41</v>
      </c>
      <c r="D12" s="1">
        <v>1</v>
      </c>
      <c r="E12" s="3" t="s">
        <v>36</v>
      </c>
    </row>
    <row r="13" spans="1:5" x14ac:dyDescent="0.25">
      <c r="A13" s="1" t="s">
        <v>24</v>
      </c>
      <c r="B13" s="1" t="s">
        <v>42</v>
      </c>
      <c r="C13" s="1" t="s">
        <v>68</v>
      </c>
      <c r="D13" s="1">
        <v>1</v>
      </c>
      <c r="E13" s="3" t="s">
        <v>36</v>
      </c>
    </row>
    <row r="14" spans="1:5" x14ac:dyDescent="0.25">
      <c r="A14" s="1" t="s">
        <v>24</v>
      </c>
      <c r="B14" s="1" t="s">
        <v>44</v>
      </c>
      <c r="C14" s="1" t="s">
        <v>45</v>
      </c>
      <c r="D14" s="1">
        <v>1</v>
      </c>
      <c r="E14" s="3" t="s">
        <v>36</v>
      </c>
    </row>
    <row r="15" spans="1:5" x14ac:dyDescent="0.25">
      <c r="A15" s="1" t="s">
        <v>46</v>
      </c>
      <c r="B15" s="1" t="s">
        <v>25</v>
      </c>
      <c r="C15" s="1" t="s">
        <v>47</v>
      </c>
      <c r="D15" s="1">
        <v>1</v>
      </c>
      <c r="E15" s="2" t="s">
        <v>27</v>
      </c>
    </row>
    <row r="16" spans="1:5" x14ac:dyDescent="0.25">
      <c r="A16" s="1" t="s">
        <v>46</v>
      </c>
      <c r="B16" s="1" t="s">
        <v>28</v>
      </c>
      <c r="C16" s="1" t="s">
        <v>29</v>
      </c>
      <c r="D16" s="1">
        <v>1</v>
      </c>
      <c r="E16" s="2" t="s">
        <v>27</v>
      </c>
    </row>
    <row r="17" spans="1:5" x14ac:dyDescent="0.25">
      <c r="A17" s="1" t="s">
        <v>46</v>
      </c>
      <c r="B17" s="1" t="s">
        <v>30</v>
      </c>
      <c r="C17" s="1" t="s">
        <v>31</v>
      </c>
      <c r="D17" s="1">
        <v>1</v>
      </c>
      <c r="E17" s="2" t="s">
        <v>27</v>
      </c>
    </row>
    <row r="18" spans="1:5" x14ac:dyDescent="0.25">
      <c r="A18" s="1" t="s">
        <v>46</v>
      </c>
      <c r="B18" s="1" t="s">
        <v>32</v>
      </c>
      <c r="C18" s="1" t="s">
        <v>33</v>
      </c>
      <c r="D18" s="1">
        <v>1</v>
      </c>
      <c r="E18" s="2" t="s">
        <v>27</v>
      </c>
    </row>
    <row r="19" spans="1:5" x14ac:dyDescent="0.25">
      <c r="A19" s="1" t="s">
        <v>46</v>
      </c>
      <c r="B19" s="1" t="s">
        <v>34</v>
      </c>
      <c r="C19" s="1" t="s">
        <v>35</v>
      </c>
      <c r="D19" s="1">
        <v>1</v>
      </c>
      <c r="E19" s="3" t="s">
        <v>36</v>
      </c>
    </row>
    <row r="20" spans="1:5" x14ac:dyDescent="0.25">
      <c r="A20" s="1" t="s">
        <v>46</v>
      </c>
      <c r="B20" s="1" t="s">
        <v>37</v>
      </c>
      <c r="C20" s="1" t="s">
        <v>38</v>
      </c>
      <c r="D20" s="1">
        <v>1</v>
      </c>
      <c r="E20" s="3" t="s">
        <v>36</v>
      </c>
    </row>
    <row r="21" spans="1:5" x14ac:dyDescent="0.25">
      <c r="A21" s="1" t="s">
        <v>46</v>
      </c>
      <c r="B21" s="1" t="s">
        <v>39</v>
      </c>
      <c r="C21" s="1" t="s">
        <v>67</v>
      </c>
      <c r="D21" s="1">
        <v>1</v>
      </c>
      <c r="E21" s="3" t="s">
        <v>36</v>
      </c>
    </row>
    <row r="22" spans="1:5" x14ac:dyDescent="0.25">
      <c r="A22" s="1" t="s">
        <v>46</v>
      </c>
      <c r="B22" s="1" t="s">
        <v>40</v>
      </c>
      <c r="C22" s="1" t="s">
        <v>41</v>
      </c>
      <c r="D22" s="1">
        <v>1</v>
      </c>
      <c r="E22" s="3" t="s">
        <v>36</v>
      </c>
    </row>
    <row r="23" spans="1:5" x14ac:dyDescent="0.25">
      <c r="A23" s="1" t="s">
        <v>46</v>
      </c>
      <c r="B23" s="1" t="s">
        <v>42</v>
      </c>
      <c r="C23" s="1" t="s">
        <v>68</v>
      </c>
      <c r="D23" s="1">
        <v>1</v>
      </c>
      <c r="E23" s="3" t="s">
        <v>36</v>
      </c>
    </row>
    <row r="24" spans="1:5" x14ac:dyDescent="0.25">
      <c r="A24" s="1" t="s">
        <v>46</v>
      </c>
      <c r="B24" s="1" t="s">
        <v>48</v>
      </c>
      <c r="C24" s="1" t="s">
        <v>49</v>
      </c>
      <c r="D24" s="1">
        <v>1</v>
      </c>
      <c r="E24" s="3" t="s">
        <v>36</v>
      </c>
    </row>
    <row r="25" spans="1:5" x14ac:dyDescent="0.25">
      <c r="A25" s="1" t="s">
        <v>46</v>
      </c>
      <c r="B25" s="1" t="s">
        <v>44</v>
      </c>
      <c r="C25" s="1" t="s">
        <v>45</v>
      </c>
      <c r="D25" s="1">
        <v>1</v>
      </c>
      <c r="E25" s="3" t="s">
        <v>36</v>
      </c>
    </row>
    <row r="26" spans="1:5" x14ac:dyDescent="0.25">
      <c r="A26" s="1" t="s">
        <v>50</v>
      </c>
      <c r="B26" s="1" t="s">
        <v>25</v>
      </c>
      <c r="C26" s="1" t="s">
        <v>51</v>
      </c>
      <c r="D26" s="1">
        <v>1</v>
      </c>
      <c r="E26" s="2" t="s">
        <v>27</v>
      </c>
    </row>
    <row r="27" spans="1:5" x14ac:dyDescent="0.25">
      <c r="A27" s="1" t="s">
        <v>50</v>
      </c>
      <c r="B27" s="1" t="s">
        <v>28</v>
      </c>
      <c r="C27" s="1" t="s">
        <v>29</v>
      </c>
      <c r="D27" s="1">
        <v>1</v>
      </c>
      <c r="E27" s="2" t="s">
        <v>27</v>
      </c>
    </row>
    <row r="28" spans="1:5" x14ac:dyDescent="0.25">
      <c r="A28" s="1" t="s">
        <v>50</v>
      </c>
      <c r="B28" s="1" t="s">
        <v>30</v>
      </c>
      <c r="C28" s="1" t="s">
        <v>52</v>
      </c>
      <c r="D28" s="1">
        <v>1</v>
      </c>
      <c r="E28" s="3" t="s">
        <v>36</v>
      </c>
    </row>
    <row r="29" spans="1:5" x14ac:dyDescent="0.25">
      <c r="A29" s="1" t="s">
        <v>50</v>
      </c>
      <c r="B29" s="1" t="s">
        <v>32</v>
      </c>
      <c r="C29" s="1" t="s">
        <v>53</v>
      </c>
      <c r="D29" s="1">
        <v>1</v>
      </c>
      <c r="E29" s="3" t="s">
        <v>36</v>
      </c>
    </row>
    <row r="30" spans="1:5" x14ac:dyDescent="0.25">
      <c r="A30" s="1" t="s">
        <v>50</v>
      </c>
      <c r="B30" s="1" t="s">
        <v>34</v>
      </c>
      <c r="C30" s="1" t="s">
        <v>35</v>
      </c>
      <c r="D30" s="1">
        <v>1</v>
      </c>
      <c r="E30" s="3" t="s">
        <v>36</v>
      </c>
    </row>
    <row r="31" spans="1:5" x14ac:dyDescent="0.25">
      <c r="A31" s="1" t="s">
        <v>50</v>
      </c>
      <c r="B31" s="1" t="s">
        <v>37</v>
      </c>
      <c r="C31" s="1" t="s">
        <v>38</v>
      </c>
      <c r="D31" s="1">
        <v>1</v>
      </c>
      <c r="E31" s="3" t="s">
        <v>36</v>
      </c>
    </row>
    <row r="32" spans="1:5" x14ac:dyDescent="0.25">
      <c r="A32" s="1" t="s">
        <v>50</v>
      </c>
      <c r="B32" s="1" t="s">
        <v>39</v>
      </c>
      <c r="C32" s="1" t="s">
        <v>67</v>
      </c>
      <c r="D32" s="1">
        <v>1</v>
      </c>
      <c r="E32" s="3" t="s">
        <v>36</v>
      </c>
    </row>
    <row r="33" spans="1:5" x14ac:dyDescent="0.25">
      <c r="A33" s="1" t="s">
        <v>50</v>
      </c>
      <c r="B33" s="1" t="s">
        <v>40</v>
      </c>
      <c r="C33" s="1" t="s">
        <v>41</v>
      </c>
      <c r="D33" s="1">
        <v>2</v>
      </c>
      <c r="E33" s="3" t="s">
        <v>36</v>
      </c>
    </row>
    <row r="34" spans="1:5" x14ac:dyDescent="0.25">
      <c r="A34" s="1" t="s">
        <v>50</v>
      </c>
      <c r="B34" s="1" t="s">
        <v>42</v>
      </c>
      <c r="C34" s="1" t="s">
        <v>43</v>
      </c>
      <c r="D34" s="1">
        <v>1</v>
      </c>
      <c r="E34" s="3" t="s">
        <v>36</v>
      </c>
    </row>
    <row r="35" spans="1:5" x14ac:dyDescent="0.25">
      <c r="A35" s="1" t="s">
        <v>54</v>
      </c>
      <c r="B35" s="1" t="s">
        <v>55</v>
      </c>
      <c r="C35" s="1" t="s">
        <v>56</v>
      </c>
      <c r="D35" s="1">
        <v>1</v>
      </c>
      <c r="E35" s="3" t="s">
        <v>36</v>
      </c>
    </row>
    <row r="36" spans="1:5" x14ac:dyDescent="0.25">
      <c r="A36" s="1" t="s">
        <v>57</v>
      </c>
      <c r="B36" s="1" t="s">
        <v>58</v>
      </c>
      <c r="C36" s="1" t="s">
        <v>59</v>
      </c>
      <c r="D36" s="1">
        <v>1</v>
      </c>
      <c r="E36" s="3" t="s">
        <v>36</v>
      </c>
    </row>
    <row r="37" spans="1:5" x14ac:dyDescent="0.25">
      <c r="A37" s="1" t="s">
        <v>57</v>
      </c>
      <c r="B37" s="1" t="s">
        <v>40</v>
      </c>
      <c r="C37" s="1" t="s">
        <v>41</v>
      </c>
      <c r="D37" s="1">
        <v>1</v>
      </c>
      <c r="E37" s="3" t="s">
        <v>36</v>
      </c>
    </row>
    <row r="38" spans="1:5" x14ac:dyDescent="0.25">
      <c r="A38" s="1" t="s">
        <v>57</v>
      </c>
      <c r="B38" s="1" t="s">
        <v>42</v>
      </c>
      <c r="C38" s="1" t="s">
        <v>68</v>
      </c>
      <c r="D38" s="1">
        <v>1</v>
      </c>
      <c r="E38" s="3" t="s">
        <v>36</v>
      </c>
    </row>
    <row r="39" spans="1:5" x14ac:dyDescent="0.25">
      <c r="A39" s="1" t="s">
        <v>60</v>
      </c>
      <c r="B39" s="1" t="s">
        <v>58</v>
      </c>
      <c r="C39" s="1" t="s">
        <v>61</v>
      </c>
      <c r="D39" s="1">
        <v>1</v>
      </c>
      <c r="E39" s="3" t="s">
        <v>36</v>
      </c>
    </row>
    <row r="40" spans="1:5" x14ac:dyDescent="0.25">
      <c r="A40" s="1" t="s">
        <v>60</v>
      </c>
      <c r="B40" s="1" t="s">
        <v>40</v>
      </c>
      <c r="C40" s="1" t="s">
        <v>41</v>
      </c>
      <c r="D40" s="1">
        <v>2</v>
      </c>
      <c r="E40" s="3" t="s">
        <v>36</v>
      </c>
    </row>
    <row r="41" spans="1:5" x14ac:dyDescent="0.25">
      <c r="A41" s="1" t="s">
        <v>60</v>
      </c>
      <c r="B41" s="1" t="s">
        <v>42</v>
      </c>
      <c r="C41" s="1" t="s">
        <v>68</v>
      </c>
      <c r="D41" s="1">
        <v>1</v>
      </c>
      <c r="E41" s="3" t="s">
        <v>36</v>
      </c>
    </row>
  </sheetData>
  <mergeCells count="5">
    <mergeCell ref="A2:A4"/>
    <mergeCell ref="B2:B4"/>
    <mergeCell ref="C2:C4"/>
    <mergeCell ref="D2:D4"/>
    <mergeCell ref="E2:E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21A0-B721-4929-9F60-D1ED393655BD}">
  <dimension ref="A2:E16"/>
  <sheetViews>
    <sheetView tabSelected="1" workbookViewId="0">
      <selection activeCell="B16" sqref="B16"/>
    </sheetView>
  </sheetViews>
  <sheetFormatPr defaultRowHeight="15" x14ac:dyDescent="0.25"/>
  <cols>
    <col min="1" max="1" width="32.5703125" bestFit="1" customWidth="1"/>
    <col min="2" max="2" width="136.140625" bestFit="1" customWidth="1"/>
    <col min="3" max="3" width="35.28515625" bestFit="1" customWidth="1"/>
    <col min="4" max="4" width="11.42578125" bestFit="1" customWidth="1"/>
    <col min="5" max="5" width="49.28515625" bestFit="1" customWidth="1"/>
  </cols>
  <sheetData>
    <row r="2" spans="1:5" x14ac:dyDescent="0.25">
      <c r="A2" s="5" t="s">
        <v>69</v>
      </c>
      <c r="B2" s="8" t="s">
        <v>117</v>
      </c>
      <c r="C2" s="5" t="s">
        <v>70</v>
      </c>
      <c r="D2" s="5" t="s">
        <v>66</v>
      </c>
      <c r="E2" s="5" t="s">
        <v>71</v>
      </c>
    </row>
    <row r="3" spans="1:5" x14ac:dyDescent="0.25">
      <c r="A3" s="5"/>
      <c r="B3" s="9"/>
      <c r="C3" s="5"/>
      <c r="D3" s="5"/>
      <c r="E3" s="5"/>
    </row>
    <row r="4" spans="1:5" x14ac:dyDescent="0.25">
      <c r="A4" s="5"/>
      <c r="B4" s="10"/>
      <c r="C4" s="5"/>
      <c r="D4" s="5"/>
      <c r="E4" s="5"/>
    </row>
    <row r="5" spans="1:5" x14ac:dyDescent="0.25">
      <c r="A5" s="1" t="s">
        <v>88</v>
      </c>
      <c r="B5" s="1" t="s">
        <v>120</v>
      </c>
      <c r="C5" s="1" t="s">
        <v>72</v>
      </c>
      <c r="D5" s="1" t="s">
        <v>27</v>
      </c>
      <c r="E5" s="1" t="s">
        <v>73</v>
      </c>
    </row>
    <row r="6" spans="1:5" x14ac:dyDescent="0.25">
      <c r="A6" s="1" t="s">
        <v>89</v>
      </c>
      <c r="B6" s="1" t="s">
        <v>121</v>
      </c>
      <c r="C6" s="1" t="s">
        <v>74</v>
      </c>
      <c r="D6" s="1" t="s">
        <v>36</v>
      </c>
      <c r="E6" s="1" t="s">
        <v>75</v>
      </c>
    </row>
    <row r="7" spans="1:5" x14ac:dyDescent="0.25">
      <c r="A7" s="1" t="s">
        <v>90</v>
      </c>
      <c r="B7" s="1" t="s">
        <v>122</v>
      </c>
      <c r="C7" s="1" t="s">
        <v>72</v>
      </c>
      <c r="D7" s="1" t="s">
        <v>27</v>
      </c>
      <c r="E7" s="1" t="s">
        <v>76</v>
      </c>
    </row>
    <row r="8" spans="1:5" x14ac:dyDescent="0.25">
      <c r="A8" s="1" t="s">
        <v>91</v>
      </c>
      <c r="B8" s="1" t="s">
        <v>123</v>
      </c>
      <c r="C8" s="1" t="s">
        <v>36</v>
      </c>
      <c r="D8" s="1" t="s">
        <v>36</v>
      </c>
      <c r="E8" s="1" t="s">
        <v>77</v>
      </c>
    </row>
    <row r="9" spans="1:5" x14ac:dyDescent="0.25">
      <c r="A9" s="1" t="s">
        <v>92</v>
      </c>
      <c r="B9" s="1" t="s">
        <v>124</v>
      </c>
      <c r="C9" s="1" t="s">
        <v>72</v>
      </c>
      <c r="D9" s="1" t="s">
        <v>27</v>
      </c>
      <c r="E9" s="1" t="s">
        <v>78</v>
      </c>
    </row>
    <row r="10" spans="1:5" x14ac:dyDescent="0.25">
      <c r="A10" s="1" t="s">
        <v>93</v>
      </c>
      <c r="B10" s="1" t="s">
        <v>118</v>
      </c>
      <c r="C10" s="1" t="s">
        <v>72</v>
      </c>
      <c r="D10" s="1" t="s">
        <v>27</v>
      </c>
      <c r="E10" s="1" t="s">
        <v>79</v>
      </c>
    </row>
    <row r="11" spans="1:5" x14ac:dyDescent="0.25">
      <c r="A11" s="1" t="s">
        <v>94</v>
      </c>
      <c r="B11" s="1" t="s">
        <v>125</v>
      </c>
      <c r="C11" s="1" t="s">
        <v>72</v>
      </c>
      <c r="D11" s="1" t="s">
        <v>27</v>
      </c>
      <c r="E11" s="1" t="s">
        <v>80</v>
      </c>
    </row>
    <row r="12" spans="1:5" x14ac:dyDescent="0.25">
      <c r="A12" s="1" t="s">
        <v>95</v>
      </c>
      <c r="B12" s="1" t="s">
        <v>126</v>
      </c>
      <c r="C12" s="1" t="s">
        <v>72</v>
      </c>
      <c r="D12" s="1" t="s">
        <v>36</v>
      </c>
      <c r="E12" s="1" t="s">
        <v>81</v>
      </c>
    </row>
    <row r="13" spans="1:5" x14ac:dyDescent="0.25">
      <c r="A13" s="1" t="s">
        <v>96</v>
      </c>
      <c r="B13" s="1" t="s">
        <v>127</v>
      </c>
      <c r="C13" s="1" t="s">
        <v>72</v>
      </c>
      <c r="D13" s="1" t="s">
        <v>36</v>
      </c>
      <c r="E13" s="1" t="s">
        <v>82</v>
      </c>
    </row>
    <row r="14" spans="1:5" x14ac:dyDescent="0.25">
      <c r="A14" s="1" t="s">
        <v>97</v>
      </c>
      <c r="B14" s="1" t="s">
        <v>128</v>
      </c>
      <c r="C14" s="1" t="s">
        <v>72</v>
      </c>
      <c r="D14" s="1" t="s">
        <v>36</v>
      </c>
      <c r="E14" s="1" t="s">
        <v>83</v>
      </c>
    </row>
    <row r="15" spans="1:5" x14ac:dyDescent="0.25">
      <c r="A15" s="1" t="s">
        <v>98</v>
      </c>
      <c r="B15" s="1" t="s">
        <v>119</v>
      </c>
      <c r="C15" s="1" t="s">
        <v>72</v>
      </c>
      <c r="D15" s="1" t="s">
        <v>36</v>
      </c>
      <c r="E15" s="1" t="s">
        <v>84</v>
      </c>
    </row>
    <row r="16" spans="1:5" x14ac:dyDescent="0.25">
      <c r="A16" s="1" t="s">
        <v>85</v>
      </c>
      <c r="B16" s="1" t="s">
        <v>129</v>
      </c>
      <c r="C16" s="1" t="s">
        <v>86</v>
      </c>
      <c r="D16" s="1" t="s">
        <v>27</v>
      </c>
      <c r="E16" s="1" t="s">
        <v>87</v>
      </c>
    </row>
  </sheetData>
  <mergeCells count="5">
    <mergeCell ref="A2:A4"/>
    <mergeCell ref="C2:C4"/>
    <mergeCell ref="D2:D4"/>
    <mergeCell ref="E2:E4"/>
    <mergeCell ref="B2:B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FF6D-625C-48AC-9CD0-EC4953C540B1}">
  <dimension ref="A2:D9"/>
  <sheetViews>
    <sheetView workbookViewId="0">
      <selection activeCell="B24" sqref="B24"/>
    </sheetView>
  </sheetViews>
  <sheetFormatPr defaultRowHeight="15" x14ac:dyDescent="0.25"/>
  <cols>
    <col min="1" max="1" width="59.7109375" bestFit="1" customWidth="1"/>
    <col min="2" max="2" width="163.5703125" bestFit="1" customWidth="1"/>
    <col min="3" max="3" width="16" bestFit="1" customWidth="1"/>
    <col min="4" max="4" width="64.5703125" bestFit="1" customWidth="1"/>
  </cols>
  <sheetData>
    <row r="2" spans="1:4" x14ac:dyDescent="0.25">
      <c r="A2" s="5" t="s">
        <v>99</v>
      </c>
      <c r="B2" s="5" t="s">
        <v>100</v>
      </c>
      <c r="C2" s="5" t="s">
        <v>101</v>
      </c>
      <c r="D2" s="5" t="s">
        <v>102</v>
      </c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1" t="s">
        <v>103</v>
      </c>
      <c r="B5" s="1" t="s">
        <v>104</v>
      </c>
      <c r="C5" s="4">
        <v>46297</v>
      </c>
      <c r="D5" s="1" t="s">
        <v>115</v>
      </c>
    </row>
    <row r="6" spans="1:4" x14ac:dyDescent="0.25">
      <c r="A6" s="1" t="s">
        <v>105</v>
      </c>
      <c r="B6" s="1" t="s">
        <v>106</v>
      </c>
      <c r="C6" s="4">
        <v>46297</v>
      </c>
      <c r="D6" s="1" t="s">
        <v>107</v>
      </c>
    </row>
    <row r="7" spans="1:4" x14ac:dyDescent="0.25">
      <c r="A7" s="1" t="s">
        <v>108</v>
      </c>
      <c r="B7" s="1" t="s">
        <v>109</v>
      </c>
      <c r="C7" s="4">
        <v>46297</v>
      </c>
      <c r="D7" s="1" t="s">
        <v>110</v>
      </c>
    </row>
    <row r="8" spans="1:4" x14ac:dyDescent="0.25">
      <c r="A8" s="1" t="s">
        <v>111</v>
      </c>
      <c r="B8" s="1" t="s">
        <v>112</v>
      </c>
      <c r="C8" s="4">
        <v>46297</v>
      </c>
      <c r="D8" s="1" t="s">
        <v>116</v>
      </c>
    </row>
    <row r="9" spans="1:4" x14ac:dyDescent="0.25">
      <c r="A9" s="1" t="s">
        <v>113</v>
      </c>
      <c r="B9" s="1" t="s">
        <v>114</v>
      </c>
      <c r="C9" s="4">
        <v>46297</v>
      </c>
      <c r="D9" s="1" t="s">
        <v>107</v>
      </c>
    </row>
  </sheetData>
  <mergeCells count="4">
    <mergeCell ref="A2:A4"/>
    <mergeCell ref="B2:B4"/>
    <mergeCell ref="C2:C4"/>
    <mergeCell ref="D2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Perfis</vt:lpstr>
      <vt:lpstr>Configuração</vt:lpstr>
      <vt:lpstr>Compatibilidade</vt:lpstr>
      <vt:lpstr>Fontes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Carvalho Leite</dc:creator>
  <cp:lastModifiedBy>Luiz Felipe Carvalho Leite</cp:lastModifiedBy>
  <dcterms:created xsi:type="dcterms:W3CDTF">2026-10-02T11:32:53Z</dcterms:created>
  <dcterms:modified xsi:type="dcterms:W3CDTF">2026-10-02T12:14:59Z</dcterms:modified>
</cp:coreProperties>
</file>