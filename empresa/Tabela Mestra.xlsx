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leitetech-infraestrutura\empresa\"/>
    </mc:Choice>
  </mc:AlternateContent>
  <xr:revisionPtr revIDLastSave="0" documentId="11_D4491ADA99C819EB61ADEF94AA672B439214C2FA" xr6:coauthVersionLast="47" xr6:coauthVersionMax="47" xr10:uidLastSave="{00000000-0000-0000-0000-000000000000}"/>
  <bookViews>
    <workbookView xWindow="-38520" yWindow="-5475" windowWidth="38640" windowHeight="21120" tabRatio="500" activeTab="2" xr2:uid="{00000000-000D-0000-FFFF-FFFF00000000}"/>
  </bookViews>
  <sheets>
    <sheet name="Empresa" sheetId="1" r:id="rId1"/>
    <sheet name="Levantamento" sheetId="2" r:id="rId2"/>
    <sheet name="Resumo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8" i="2" l="1"/>
  <c r="F28" i="2"/>
  <c r="C28" i="2"/>
  <c r="H26" i="2"/>
  <c r="L26" i="2" s="1"/>
  <c r="H24" i="2"/>
  <c r="L24" i="2" s="1"/>
  <c r="H22" i="2"/>
  <c r="L22" i="2" s="1"/>
  <c r="H20" i="2"/>
  <c r="L20" i="2" s="1"/>
  <c r="H18" i="2"/>
  <c r="L18" i="2" s="1"/>
  <c r="L16" i="2"/>
  <c r="H16" i="2"/>
  <c r="H14" i="2"/>
  <c r="L14" i="2" s="1"/>
  <c r="H12" i="2"/>
  <c r="L12" i="2" s="1"/>
  <c r="H10" i="2"/>
  <c r="L10" i="2" s="1"/>
  <c r="H8" i="2"/>
  <c r="H28" i="2" s="1"/>
  <c r="D20" i="1"/>
  <c r="U19" i="3"/>
  <c r="P19" i="3"/>
  <c r="K19" i="3"/>
  <c r="F19" i="3"/>
  <c r="U18" i="3"/>
  <c r="P18" i="3"/>
  <c r="K18" i="3"/>
  <c r="F18" i="3"/>
  <c r="U17" i="3"/>
  <c r="U20" i="3" s="1"/>
  <c r="P17" i="3"/>
  <c r="P20" i="3" s="1"/>
  <c r="K17" i="3"/>
  <c r="K20" i="3" s="1"/>
  <c r="F17" i="3"/>
  <c r="F20" i="3" s="1"/>
  <c r="U11" i="3"/>
  <c r="P11" i="3"/>
  <c r="K11" i="3"/>
  <c r="F11" i="3"/>
  <c r="U10" i="3"/>
  <c r="P10" i="3"/>
  <c r="K10" i="3"/>
  <c r="F10" i="3"/>
  <c r="U9" i="3"/>
  <c r="P9" i="3"/>
  <c r="K9" i="3"/>
  <c r="F9" i="3"/>
  <c r="U8" i="3"/>
  <c r="U12" i="3" s="1"/>
  <c r="P8" i="3"/>
  <c r="P12" i="3" s="1"/>
  <c r="K8" i="3"/>
  <c r="K12" i="3" s="1"/>
  <c r="F8" i="3"/>
  <c r="F12" i="3" s="1"/>
  <c r="L28" i="2" l="1"/>
  <c r="L8" i="2"/>
</calcChain>
</file>

<file path=xl/sharedStrings.xml><?xml version="1.0" encoding="utf-8"?>
<sst xmlns="http://schemas.openxmlformats.org/spreadsheetml/2006/main" count="119" uniqueCount="86">
  <si>
    <t>Ficha da empresa</t>
  </si>
  <si>
    <t>Nome</t>
  </si>
  <si>
    <t>LeiteTech Soluções (empresa fictícia)</t>
  </si>
  <si>
    <t>Ramo</t>
  </si>
  <si>
    <t>Desenvolvimento de software sob medida e suporte técnico a clientes</t>
  </si>
  <si>
    <t>Produtos/serviços</t>
  </si>
  <si>
    <t>Sistemas web e mobile para clientes; contratos de suporte e manutenção</t>
  </si>
  <si>
    <t>Horário de funcionamento</t>
  </si>
  <si>
    <t>Segunda a sexta, 08h às 18h (suporte com plantão remoto)</t>
  </si>
  <si>
    <t>Cenário escolhido</t>
  </si>
  <si>
    <t>B — prédio único com 4 andares</t>
  </si>
  <si>
    <t>Total de funcionários</t>
  </si>
  <si>
    <t>Papel da tecnologia</t>
  </si>
  <si>
    <t>Todo o trabalho depende de computadores, servidores (repositórios Git, arquivos, banco, chamados), rede cabeada/Wi-Fi e Internet. Um monitor de temperatura protege a sala de servidores.</t>
  </si>
  <si>
    <t>Situação de IoT</t>
  </si>
  <si>
    <t>Sensor TMP36 + Arduino na sala de servidores (4º andar) com LEDs verde/amarelo/vermelho.</t>
  </si>
  <si>
    <t>LeiteTech Soluções — Levantamento de necessidades (tabela-mestra)</t>
  </si>
  <si>
    <t>Cenário B: prédio único com 4 andares | Horário: seg–sex, 08h–18h | Ramo: desenvolvimento de software e suporte técnico a clientes</t>
  </si>
  <si>
    <t>Andar</t>
  </si>
  <si>
    <t>Departamento</t>
  </si>
  <si>
    <t>Funcionários</t>
  </si>
  <si>
    <t>Função principal</t>
  </si>
  <si>
    <t>Aplicações utilizadas</t>
  </si>
  <si>
    <t>Desktops</t>
  </si>
  <si>
    <t>Notebooks</t>
  </si>
  <si>
    <t>Postos (calc.)</t>
  </si>
  <si>
    <t>Periféricos / recursos</t>
  </si>
  <si>
    <t>Necessidade de desempenho</t>
  </si>
  <si>
    <t>Perfil (provisório)</t>
  </si>
  <si>
    <t>Conferência</t>
  </si>
  <si>
    <t>1º</t>
  </si>
  <si>
    <t>Recepção</t>
  </si>
  <si>
    <t>Atendimento a visitantes e clientes, triagem de chamados</t>
  </si>
  <si>
    <t>Navegador, Office, sistema de chamados, videoconferência</t>
  </si>
  <si>
    <t>Monitor, teclado, mouse, headset, impressora compartilhada</t>
  </si>
  <si>
    <t>Baixa</t>
  </si>
  <si>
    <t>PERFIL-OPE</t>
  </si>
  <si>
    <t>Operações/Suporte</t>
  </si>
  <si>
    <t>Suporte técnico de 1º nível aos clientes</t>
  </si>
  <si>
    <t>Navegador, sistema de chamados (helpdesk), acesso remoto, Office</t>
  </si>
  <si>
    <t>Monitor, teclado, mouse, headset</t>
  </si>
  <si>
    <t>Média</t>
  </si>
  <si>
    <t>2º</t>
  </si>
  <si>
    <t>Financeiro</t>
  </si>
  <si>
    <t>Contas a pagar/receber, faturamento</t>
  </si>
  <si>
    <t>ERP, planilhas, navegador, e-mail</t>
  </si>
  <si>
    <t>Monitor, teclado, mouse, impressora compartilhada</t>
  </si>
  <si>
    <t>PERFIL-ADM</t>
  </si>
  <si>
    <t>RH</t>
  </si>
  <si>
    <t>Folha, admissão/demissão, benefícios</t>
  </si>
  <si>
    <t>Sistema de RH/folha, Office, videoconferência</t>
  </si>
  <si>
    <t>Monitor, teclado, mouse, webcam</t>
  </si>
  <si>
    <t>Comercial</t>
  </si>
  <si>
    <t>Vendas, propostas e relacionamento com clientes</t>
  </si>
  <si>
    <t>CRM, Office, videoconferência, navegador</t>
  </si>
  <si>
    <t>Monitor, teclado, mouse, headset (notebooks para reuniões externas)</t>
  </si>
  <si>
    <t>3º</t>
  </si>
  <si>
    <t>Desenvolvimento</t>
  </si>
  <si>
    <t>Programação, versionamento, testes e deploy</t>
  </si>
  <si>
    <t>IDEs, Git, Docker, máquinas virtuais, banco de dados local</t>
  </si>
  <si>
    <t>2 monitores, teclado, mouse</t>
  </si>
  <si>
    <t>Alta</t>
  </si>
  <si>
    <t>PERFIL-ESP</t>
  </si>
  <si>
    <t>Gerência de Projetos</t>
  </si>
  <si>
    <t>Planejamento e acompanhamento de projetos, prazos e equipes de desenvolvimento</t>
  </si>
  <si>
    <t>Ferramenta de gestão de projetos (Jira/Trello), Office, videoconferência, navegador, e-mail</t>
  </si>
  <si>
    <t>Monitor, teclado, mouse, webcam, headset</t>
  </si>
  <si>
    <t>QA e Design</t>
  </si>
  <si>
    <t>Testes de qualidade e interfaces gráficas</t>
  </si>
  <si>
    <t>Ferramentas de teste, edição gráfica, navegadores</t>
  </si>
  <si>
    <t>2 monitores, teclado, mouse, mesa digitalizadora (Design)</t>
  </si>
  <si>
    <t>4º</t>
  </si>
  <si>
    <t>TI / Infraestrutura</t>
  </si>
  <si>
    <t>Administração de servidores, rede, segurança e backup</t>
  </si>
  <si>
    <t>Consoles de administração, virtualização, monitoramento, terminal SSH</t>
  </si>
  <si>
    <t>2 monitores, teclado, mouse; sala de servidores com rack</t>
  </si>
  <si>
    <t>Diretoria</t>
  </si>
  <si>
    <t>Gestão, decisões estratégicas, reuniões</t>
  </si>
  <si>
    <t>Office, ERP (consulta), videoconferência, BI</t>
  </si>
  <si>
    <t>Monitor externo, teclado, mouse, webcam</t>
  </si>
  <si>
    <t>TOTAL</t>
  </si>
  <si>
    <t>RESUMO GERAL</t>
  </si>
  <si>
    <t>POR ANDAR</t>
  </si>
  <si>
    <t>Postos</t>
  </si>
  <si>
    <t>Por perfil</t>
  </si>
  <si>
    <t>Perfil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</si>
</sst>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charset val="1"/>
    </font>
    <font>
      <sz val="11"/>
      <color theme="1"/>
      <name val="Calibri"/>
      <family val="2"/>
      <charset val="1"/>
    </font>
    <font>
      <b/>
      <sz val="28"/>
      <color theme="2"/>
      <name val="Aptos Narrow"/>
      <family val="2"/>
      <charset val="1"/>
    </font>
    <font>
      <b/>
      <sz val="16"/>
      <color theme="0"/>
      <name val="Aptos Narrow"/>
      <family val="2"/>
      <charset val="1"/>
    </font>
    <font>
      <i/>
      <sz val="10"/>
      <name val="Arial"/>
      <family val="2"/>
      <charset val="1"/>
    </font>
    <font>
      <b/>
      <sz val="11"/>
      <color theme="0"/>
      <name val="Aptos Narrow"/>
      <family val="2"/>
      <charset val="1"/>
    </font>
    <font>
      <b/>
      <sz val="28"/>
      <color theme="1"/>
      <name val="Aptos Narrow"/>
      <family val="2"/>
      <charset val="1"/>
    </font>
    <font>
      <b/>
      <sz val="22"/>
      <color theme="2"/>
      <name val="Aptos Narrow"/>
      <family val="2"/>
      <charset val="1"/>
    </font>
    <font>
      <b/>
      <sz val="22"/>
      <color theme="1"/>
      <name val="Aptos Narrow"/>
      <family val="2"/>
      <charset val="1"/>
    </font>
    <font>
      <b/>
      <sz val="11"/>
      <color theme="3"/>
      <name val="Aptos Narrow"/>
      <family val="2"/>
      <charset val="1"/>
    </font>
    <font>
      <b/>
      <sz val="11"/>
      <color theme="1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3"/>
        <bgColor rgb="FF333333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E2841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8"/>
  <sheetViews>
    <sheetView zoomScaleNormal="100" workbookViewId="0">
      <selection activeCell="D20" sqref="D20"/>
    </sheetView>
  </sheetViews>
  <sheetFormatPr defaultColWidth="8.5703125" defaultRowHeight="15" x14ac:dyDescent="0.25"/>
  <cols>
    <col min="3" max="3" width="24.42578125" customWidth="1"/>
  </cols>
  <sheetData>
    <row r="1" spans="1:27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ht="15" customHeigh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5" spans="1:27" ht="15" customHeight="1" x14ac:dyDescent="0.25">
      <c r="A5" s="6" t="s">
        <v>1</v>
      </c>
      <c r="B5" s="6"/>
      <c r="C5" s="6"/>
      <c r="D5" s="5" t="s">
        <v>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5" customHeight="1" x14ac:dyDescent="0.25">
      <c r="A6" s="6"/>
      <c r="B6" s="6"/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5" customHeight="1" x14ac:dyDescent="0.25">
      <c r="A7" s="6"/>
      <c r="B7" s="6"/>
      <c r="C7" s="6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5" customHeight="1" x14ac:dyDescent="0.25">
      <c r="A8" s="6" t="s">
        <v>3</v>
      </c>
      <c r="B8" s="6"/>
      <c r="C8" s="6"/>
      <c r="D8" s="5" t="s">
        <v>4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5" customHeight="1" x14ac:dyDescent="0.25">
      <c r="A9" s="6"/>
      <c r="B9" s="6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5" customHeight="1" x14ac:dyDescent="0.25">
      <c r="A10" s="6"/>
      <c r="B10" s="6"/>
      <c r="C10" s="6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5" customHeight="1" x14ac:dyDescent="0.25">
      <c r="A11" s="6" t="s">
        <v>5</v>
      </c>
      <c r="B11" s="6"/>
      <c r="C11" s="6"/>
      <c r="D11" s="5" t="s">
        <v>6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5" customHeight="1" x14ac:dyDescent="0.25">
      <c r="A12" s="6"/>
      <c r="B12" s="6"/>
      <c r="C12" s="6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5" customHeight="1" x14ac:dyDescent="0.25">
      <c r="A13" s="6"/>
      <c r="B13" s="6"/>
      <c r="C13" s="6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5" customHeight="1" x14ac:dyDescent="0.25">
      <c r="A14" s="6" t="s">
        <v>7</v>
      </c>
      <c r="B14" s="6"/>
      <c r="C14" s="6"/>
      <c r="D14" s="5" t="s">
        <v>8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5" customHeight="1" x14ac:dyDescent="0.25">
      <c r="A15" s="6"/>
      <c r="B15" s="6"/>
      <c r="C15" s="6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5" customHeight="1" x14ac:dyDescent="0.25">
      <c r="A16" s="6"/>
      <c r="B16" s="6"/>
      <c r="C16" s="6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5" customHeight="1" x14ac:dyDescent="0.25">
      <c r="A17" s="6" t="s">
        <v>9</v>
      </c>
      <c r="B17" s="6"/>
      <c r="C17" s="6"/>
      <c r="D17" s="5" t="s">
        <v>10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5" customHeight="1" x14ac:dyDescent="0.25">
      <c r="A18" s="6"/>
      <c r="B18" s="6"/>
      <c r="C18" s="6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5" customHeight="1" x14ac:dyDescent="0.25">
      <c r="A19" s="6"/>
      <c r="B19" s="6"/>
      <c r="C19" s="6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5" customHeight="1" x14ac:dyDescent="0.25">
      <c r="A20" s="6" t="s">
        <v>11</v>
      </c>
      <c r="B20" s="6"/>
      <c r="C20" s="6"/>
      <c r="D20" s="5">
        <f>Levantamento!C28</f>
        <v>50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5" customHeight="1" x14ac:dyDescent="0.25">
      <c r="A21" s="6"/>
      <c r="B21" s="6"/>
      <c r="C21" s="6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5" customHeight="1" x14ac:dyDescent="0.25">
      <c r="A22" s="6"/>
      <c r="B22" s="6"/>
      <c r="C22" s="6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5" customHeight="1" x14ac:dyDescent="0.25">
      <c r="A23" s="6" t="s">
        <v>12</v>
      </c>
      <c r="B23" s="6"/>
      <c r="C23" s="6"/>
      <c r="D23" s="5" t="s">
        <v>13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5" customHeight="1" x14ac:dyDescent="0.25">
      <c r="A24" s="6"/>
      <c r="B24" s="6"/>
      <c r="C24" s="6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5" customHeight="1" x14ac:dyDescent="0.25">
      <c r="A25" s="6"/>
      <c r="B25" s="6"/>
      <c r="C25" s="6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21" customHeight="1" x14ac:dyDescent="0.25">
      <c r="A26" s="6" t="s">
        <v>14</v>
      </c>
      <c r="B26" s="6"/>
      <c r="C26" s="6"/>
      <c r="D26" s="5" t="s">
        <v>15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5" customHeight="1" x14ac:dyDescent="0.25">
      <c r="A27" s="6"/>
      <c r="B27" s="6"/>
      <c r="C27" s="6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5" customHeight="1" x14ac:dyDescent="0.25">
      <c r="A28" s="6"/>
      <c r="B28" s="6"/>
      <c r="C28" s="6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</sheetData>
  <mergeCells count="17">
    <mergeCell ref="A20:C22"/>
    <mergeCell ref="D20:AA22"/>
    <mergeCell ref="A23:C25"/>
    <mergeCell ref="D23:AA25"/>
    <mergeCell ref="A26:C28"/>
    <mergeCell ref="D26:AA28"/>
    <mergeCell ref="A11:C13"/>
    <mergeCell ref="D11:AA13"/>
    <mergeCell ref="A14:C16"/>
    <mergeCell ref="D14:AA16"/>
    <mergeCell ref="A17:C19"/>
    <mergeCell ref="D17:AA19"/>
    <mergeCell ref="A1:AA3"/>
    <mergeCell ref="A5:C7"/>
    <mergeCell ref="D5:AA7"/>
    <mergeCell ref="A8:C10"/>
    <mergeCell ref="D8:AA10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"/>
  <sheetViews>
    <sheetView zoomScaleNormal="100" workbookViewId="0">
      <selection activeCell="E18" sqref="E18"/>
    </sheetView>
  </sheetViews>
  <sheetFormatPr defaultColWidth="8.5703125" defaultRowHeight="15" x14ac:dyDescent="0.25"/>
  <cols>
    <col min="1" max="1" width="6.140625" customWidth="1"/>
    <col min="2" max="2" width="19.42578125" customWidth="1"/>
    <col min="3" max="3" width="12.7109375" customWidth="1"/>
    <col min="4" max="4" width="77.7109375" customWidth="1"/>
    <col min="5" max="5" width="82.7109375" customWidth="1"/>
    <col min="7" max="7" width="10.5703125" customWidth="1"/>
    <col min="8" max="8" width="13.28515625" customWidth="1"/>
    <col min="9" max="9" width="64" customWidth="1"/>
    <col min="10" max="10" width="27.42578125" customWidth="1"/>
    <col min="11" max="11" width="16.5703125" customWidth="1"/>
    <col min="12" max="12" width="11.5703125" customWidth="1"/>
  </cols>
  <sheetData>
    <row r="1" spans="1:12" ht="15" customHeight="1" x14ac:dyDescent="0.25">
      <c r="A1" s="4" t="s">
        <v>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5" customHeight="1" x14ac:dyDescent="0.25">
      <c r="A4" s="3" t="s">
        <v>17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6" spans="1:12" ht="15" customHeight="1" x14ac:dyDescent="0.25">
      <c r="A6" s="2" t="s">
        <v>18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24</v>
      </c>
      <c r="H6" s="2" t="s">
        <v>25</v>
      </c>
      <c r="I6" s="2" t="s">
        <v>26</v>
      </c>
      <c r="J6" s="2" t="s">
        <v>27</v>
      </c>
      <c r="K6" s="2" t="s">
        <v>28</v>
      </c>
      <c r="L6" s="2" t="s">
        <v>29</v>
      </c>
    </row>
    <row r="7" spans="1:12" ht="1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5" customHeight="1" x14ac:dyDescent="0.25">
      <c r="A8" s="1" t="s">
        <v>30</v>
      </c>
      <c r="B8" s="1" t="s">
        <v>31</v>
      </c>
      <c r="C8" s="1">
        <v>3</v>
      </c>
      <c r="D8" s="1" t="s">
        <v>32</v>
      </c>
      <c r="E8" s="1" t="s">
        <v>33</v>
      </c>
      <c r="F8" s="1">
        <v>3</v>
      </c>
      <c r="G8" s="1">
        <v>0</v>
      </c>
      <c r="H8" s="1">
        <f>F8+G8</f>
        <v>3</v>
      </c>
      <c r="I8" s="1" t="s">
        <v>34</v>
      </c>
      <c r="J8" s="1" t="s">
        <v>35</v>
      </c>
      <c r="K8" s="1" t="s">
        <v>36</v>
      </c>
      <c r="L8" s="1" t="str">
        <f>IF(C8=H8,"OK","DIFERENTE")</f>
        <v>OK</v>
      </c>
    </row>
    <row r="9" spans="1:12" ht="1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5" customHeight="1" x14ac:dyDescent="0.25">
      <c r="A10" s="1" t="s">
        <v>30</v>
      </c>
      <c r="B10" s="1" t="s">
        <v>37</v>
      </c>
      <c r="C10" s="1">
        <v>7</v>
      </c>
      <c r="D10" s="1" t="s">
        <v>38</v>
      </c>
      <c r="E10" s="1" t="s">
        <v>39</v>
      </c>
      <c r="F10" s="1">
        <v>7</v>
      </c>
      <c r="G10" s="1">
        <v>0</v>
      </c>
      <c r="H10" s="1">
        <f>F10+G10</f>
        <v>7</v>
      </c>
      <c r="I10" s="1" t="s">
        <v>40</v>
      </c>
      <c r="J10" s="1" t="s">
        <v>41</v>
      </c>
      <c r="K10" s="1" t="s">
        <v>36</v>
      </c>
      <c r="L10" s="1" t="str">
        <f>IF(C10=H10,"OK","DIFERENTE")</f>
        <v>OK</v>
      </c>
    </row>
    <row r="11" spans="1:12" ht="1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5" customHeight="1" x14ac:dyDescent="0.25">
      <c r="A12" s="1" t="s">
        <v>42</v>
      </c>
      <c r="B12" s="1" t="s">
        <v>43</v>
      </c>
      <c r="C12" s="1">
        <v>5</v>
      </c>
      <c r="D12" s="1" t="s">
        <v>44</v>
      </c>
      <c r="E12" s="1" t="s">
        <v>45</v>
      </c>
      <c r="F12" s="1">
        <v>5</v>
      </c>
      <c r="G12" s="1">
        <v>0</v>
      </c>
      <c r="H12" s="1">
        <f>F12+G12</f>
        <v>5</v>
      </c>
      <c r="I12" s="1" t="s">
        <v>46</v>
      </c>
      <c r="J12" s="1" t="s">
        <v>41</v>
      </c>
      <c r="K12" s="1" t="s">
        <v>47</v>
      </c>
      <c r="L12" s="1" t="str">
        <f>IF(C12=H12,"OK","DIFERENTE")</f>
        <v>OK</v>
      </c>
    </row>
    <row r="13" spans="1:12" ht="1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5" customHeight="1" x14ac:dyDescent="0.25">
      <c r="A14" s="1" t="s">
        <v>42</v>
      </c>
      <c r="B14" s="1" t="s">
        <v>48</v>
      </c>
      <c r="C14" s="1">
        <v>4</v>
      </c>
      <c r="D14" s="1" t="s">
        <v>49</v>
      </c>
      <c r="E14" s="1" t="s">
        <v>50</v>
      </c>
      <c r="F14" s="1">
        <v>3</v>
      </c>
      <c r="G14" s="1">
        <v>1</v>
      </c>
      <c r="H14" s="1">
        <f>F14+G14</f>
        <v>4</v>
      </c>
      <c r="I14" s="1" t="s">
        <v>51</v>
      </c>
      <c r="J14" s="1" t="s">
        <v>41</v>
      </c>
      <c r="K14" s="1" t="s">
        <v>47</v>
      </c>
      <c r="L14" s="1" t="str">
        <f>IF(C14=H14,"OK","DIFERENTE")</f>
        <v>OK</v>
      </c>
    </row>
    <row r="15" spans="1:12" ht="1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15" customHeight="1" x14ac:dyDescent="0.25">
      <c r="A16" s="1" t="s">
        <v>42</v>
      </c>
      <c r="B16" s="1" t="s">
        <v>52</v>
      </c>
      <c r="C16" s="1">
        <v>6</v>
      </c>
      <c r="D16" s="1" t="s">
        <v>53</v>
      </c>
      <c r="E16" s="1" t="s">
        <v>54</v>
      </c>
      <c r="F16" s="1">
        <v>2</v>
      </c>
      <c r="G16" s="1">
        <v>4</v>
      </c>
      <c r="H16" s="1">
        <f>F16+G16</f>
        <v>6</v>
      </c>
      <c r="I16" s="1" t="s">
        <v>55</v>
      </c>
      <c r="J16" s="1" t="s">
        <v>41</v>
      </c>
      <c r="K16" s="1" t="s">
        <v>47</v>
      </c>
      <c r="L16" s="1" t="str">
        <f>IF(C16=H16,"OK","DIFERENTE")</f>
        <v>OK</v>
      </c>
    </row>
    <row r="17" spans="1:12" ht="1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5" customHeight="1" x14ac:dyDescent="0.25">
      <c r="A18" s="1" t="s">
        <v>56</v>
      </c>
      <c r="B18" s="1" t="s">
        <v>57</v>
      </c>
      <c r="C18" s="1">
        <v>11</v>
      </c>
      <c r="D18" s="1" t="s">
        <v>58</v>
      </c>
      <c r="E18" s="1" t="s">
        <v>59</v>
      </c>
      <c r="F18" s="1">
        <v>11</v>
      </c>
      <c r="G18" s="1">
        <v>0</v>
      </c>
      <c r="H18" s="1">
        <f>F18+G18</f>
        <v>11</v>
      </c>
      <c r="I18" s="1" t="s">
        <v>60</v>
      </c>
      <c r="J18" s="1" t="s">
        <v>61</v>
      </c>
      <c r="K18" s="1" t="s">
        <v>62</v>
      </c>
      <c r="L18" s="1" t="str">
        <f>IF(C18=H18,"OK","DIFERENTE")</f>
        <v>OK</v>
      </c>
    </row>
    <row r="19" spans="1:12" ht="1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5" customHeight="1" x14ac:dyDescent="0.25">
      <c r="A20" s="1" t="s">
        <v>56</v>
      </c>
      <c r="B20" s="1" t="s">
        <v>63</v>
      </c>
      <c r="C20" s="1">
        <v>1</v>
      </c>
      <c r="D20" s="1" t="s">
        <v>64</v>
      </c>
      <c r="E20" s="1" t="s">
        <v>65</v>
      </c>
      <c r="F20" s="1">
        <v>1</v>
      </c>
      <c r="G20" s="1">
        <v>0</v>
      </c>
      <c r="H20" s="1">
        <f>F20+G20</f>
        <v>1</v>
      </c>
      <c r="I20" s="1" t="s">
        <v>66</v>
      </c>
      <c r="J20" s="1" t="s">
        <v>41</v>
      </c>
      <c r="K20" s="1" t="s">
        <v>47</v>
      </c>
      <c r="L20" s="1" t="str">
        <f>IF(C20=H20,"OK","DIFERENTE")</f>
        <v>OK</v>
      </c>
    </row>
    <row r="21" spans="1:12" ht="1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5" customHeight="1" x14ac:dyDescent="0.25">
      <c r="A22" s="1" t="s">
        <v>56</v>
      </c>
      <c r="B22" s="1" t="s">
        <v>67</v>
      </c>
      <c r="C22" s="1">
        <v>3</v>
      </c>
      <c r="D22" s="1" t="s">
        <v>68</v>
      </c>
      <c r="E22" s="1" t="s">
        <v>69</v>
      </c>
      <c r="F22" s="1">
        <v>3</v>
      </c>
      <c r="G22" s="1">
        <v>0</v>
      </c>
      <c r="H22" s="1">
        <f>F22+G22</f>
        <v>3</v>
      </c>
      <c r="I22" s="1" t="s">
        <v>70</v>
      </c>
      <c r="J22" s="1" t="s">
        <v>61</v>
      </c>
      <c r="K22" s="1" t="s">
        <v>62</v>
      </c>
      <c r="L22" s="1" t="str">
        <f>IF(C22=H22,"OK","DIFERENTE")</f>
        <v>OK</v>
      </c>
    </row>
    <row r="23" spans="1:12" ht="1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5" customHeight="1" x14ac:dyDescent="0.25">
      <c r="A24" s="1" t="s">
        <v>71</v>
      </c>
      <c r="B24" s="1" t="s">
        <v>72</v>
      </c>
      <c r="C24" s="1">
        <v>6</v>
      </c>
      <c r="D24" s="1" t="s">
        <v>73</v>
      </c>
      <c r="E24" s="1" t="s">
        <v>74</v>
      </c>
      <c r="F24" s="1">
        <v>5</v>
      </c>
      <c r="G24" s="1">
        <v>1</v>
      </c>
      <c r="H24" s="1">
        <f>F24+G24</f>
        <v>6</v>
      </c>
      <c r="I24" s="1" t="s">
        <v>75</v>
      </c>
      <c r="J24" s="1" t="s">
        <v>61</v>
      </c>
      <c r="K24" s="1" t="s">
        <v>62</v>
      </c>
      <c r="L24" s="1" t="str">
        <f>IF(C24=H24,"OK","DIFERENTE")</f>
        <v>OK</v>
      </c>
    </row>
    <row r="25" spans="1:12" ht="1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5" customHeight="1" x14ac:dyDescent="0.25">
      <c r="A26" s="1" t="s">
        <v>71</v>
      </c>
      <c r="B26" s="1" t="s">
        <v>76</v>
      </c>
      <c r="C26" s="1">
        <v>4</v>
      </c>
      <c r="D26" s="1" t="s">
        <v>77</v>
      </c>
      <c r="E26" s="1" t="s">
        <v>78</v>
      </c>
      <c r="F26" s="1">
        <v>0</v>
      </c>
      <c r="G26" s="1">
        <v>4</v>
      </c>
      <c r="H26" s="1">
        <f>F26+G26</f>
        <v>4</v>
      </c>
      <c r="I26" s="1" t="s">
        <v>79</v>
      </c>
      <c r="J26" s="1" t="s">
        <v>41</v>
      </c>
      <c r="K26" s="1" t="s">
        <v>47</v>
      </c>
      <c r="L26" s="1" t="str">
        <f>IF(C26=H26,"OK","DIFERENTE")</f>
        <v>OK</v>
      </c>
    </row>
    <row r="27" spans="1:12" ht="1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5" customHeight="1" x14ac:dyDescent="0.25">
      <c r="A28" s="12"/>
      <c r="B28" s="12" t="s">
        <v>80</v>
      </c>
      <c r="C28" s="12">
        <f>SUM(C8:C27)</f>
        <v>50</v>
      </c>
      <c r="D28" s="12"/>
      <c r="E28" s="12"/>
      <c r="F28" s="12">
        <f>SUM(F8:F27)</f>
        <v>40</v>
      </c>
      <c r="G28" s="12">
        <f>SUM(G8:G27)</f>
        <v>10</v>
      </c>
      <c r="H28" s="12">
        <f>SUM(H8:H27)</f>
        <v>50</v>
      </c>
      <c r="I28" s="12"/>
      <c r="J28" s="12"/>
      <c r="K28" s="12"/>
      <c r="L28" s="12" t="str">
        <f>IF(AND(C28&gt;=50,C28=H28),"OK","REVISAR")</f>
        <v>OK</v>
      </c>
    </row>
  </sheetData>
  <mergeCells count="134">
    <mergeCell ref="J24:J25"/>
    <mergeCell ref="K24:K25"/>
    <mergeCell ref="L24:L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K26:K27"/>
    <mergeCell ref="L26:L27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0:J21"/>
    <mergeCell ref="K20:K21"/>
    <mergeCell ref="L20:L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K22:K23"/>
    <mergeCell ref="L22:L23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16:J17"/>
    <mergeCell ref="K16:K17"/>
    <mergeCell ref="L16:L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K18:K19"/>
    <mergeCell ref="L18:L19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2:J13"/>
    <mergeCell ref="K12:K13"/>
    <mergeCell ref="L12:L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8:J9"/>
    <mergeCell ref="K8:K9"/>
    <mergeCell ref="L8:L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A1:L3"/>
    <mergeCell ref="A4:L4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0"/>
  <sheetViews>
    <sheetView tabSelected="1" zoomScaleNormal="100" workbookViewId="0">
      <selection activeCell="K19" sqref="K19:O19"/>
    </sheetView>
  </sheetViews>
  <sheetFormatPr defaultColWidth="8.5703125" defaultRowHeight="15" x14ac:dyDescent="0.25"/>
  <cols>
    <col min="1" max="1" width="9.140625" customWidth="1"/>
    <col min="30" max="30" width="9.140625" customWidth="1"/>
  </cols>
  <sheetData>
    <row r="1" spans="1:29" ht="15" customHeight="1" x14ac:dyDescent="0.25">
      <c r="A1" s="11" t="s">
        <v>81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3"/>
      <c r="AA1" s="13"/>
      <c r="AB1" s="13"/>
      <c r="AC1" s="13"/>
    </row>
    <row r="2" spans="1:29" ht="15" customHeigh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3"/>
      <c r="AA2" s="13"/>
      <c r="AB2" s="13"/>
      <c r="AC2" s="13"/>
    </row>
    <row r="3" spans="1:29" ht="1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3"/>
      <c r="AA3" s="13"/>
      <c r="AB3" s="13"/>
      <c r="AC3" s="13"/>
    </row>
    <row r="5" spans="1:29" ht="15" customHeight="1" x14ac:dyDescent="0.25">
      <c r="A5" s="10" t="s">
        <v>82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4"/>
      <c r="AA5" s="14"/>
      <c r="AB5" s="14"/>
      <c r="AC5" s="14"/>
    </row>
    <row r="6" spans="1:29" ht="15" customHeigh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4"/>
      <c r="AA6" s="14"/>
      <c r="AB6" s="14"/>
      <c r="AC6" s="14"/>
    </row>
    <row r="7" spans="1:29" ht="15" customHeight="1" x14ac:dyDescent="0.25">
      <c r="A7" s="9" t="s">
        <v>18</v>
      </c>
      <c r="B7" s="9"/>
      <c r="C7" s="9"/>
      <c r="D7" s="9"/>
      <c r="E7" s="9"/>
      <c r="F7" s="9" t="s">
        <v>20</v>
      </c>
      <c r="G7" s="9"/>
      <c r="H7" s="9"/>
      <c r="I7" s="9"/>
      <c r="J7" s="9"/>
      <c r="K7" s="9" t="s">
        <v>23</v>
      </c>
      <c r="L7" s="9"/>
      <c r="M7" s="9"/>
      <c r="N7" s="9"/>
      <c r="O7" s="9"/>
      <c r="P7" s="9" t="s">
        <v>24</v>
      </c>
      <c r="Q7" s="9"/>
      <c r="R7" s="9"/>
      <c r="S7" s="9"/>
      <c r="T7" s="9"/>
      <c r="U7" s="9" t="s">
        <v>83</v>
      </c>
      <c r="V7" s="9"/>
      <c r="W7" s="9"/>
      <c r="X7" s="9"/>
      <c r="Y7" s="9"/>
    </row>
    <row r="8" spans="1:29" ht="15" customHeight="1" x14ac:dyDescent="0.25">
      <c r="A8" s="8">
        <v>1</v>
      </c>
      <c r="B8" s="8"/>
      <c r="C8" s="8"/>
      <c r="D8" s="8"/>
      <c r="E8" s="8"/>
      <c r="F8" s="8">
        <f>SUMIFS(Levantamento!C8:C27,Levantamento!A8:A27,Levantamento!A8)</f>
        <v>10</v>
      </c>
      <c r="G8" s="8"/>
      <c r="H8" s="8"/>
      <c r="I8" s="8"/>
      <c r="J8" s="8"/>
      <c r="K8" s="8">
        <f>SUMIFS(Levantamento!F8:F27,Levantamento!A8:A27,Levantamento!A8)</f>
        <v>10</v>
      </c>
      <c r="L8" s="8"/>
      <c r="M8" s="8"/>
      <c r="N8" s="8"/>
      <c r="O8" s="8"/>
      <c r="P8" s="8">
        <f>SUMIFS(Levantamento!G8:G27,Levantamento!A8:A27,Levantamento!A8)</f>
        <v>0</v>
      </c>
      <c r="Q8" s="8"/>
      <c r="R8" s="8"/>
      <c r="S8" s="8"/>
      <c r="T8" s="8"/>
      <c r="U8" s="8">
        <f>SUMIFS(Levantamento!H8:H27,Levantamento!A8:A27,Levantamento!A8)</f>
        <v>10</v>
      </c>
      <c r="V8" s="8"/>
      <c r="W8" s="8"/>
      <c r="X8" s="8"/>
      <c r="Y8" s="8"/>
    </row>
    <row r="9" spans="1:29" ht="15" customHeight="1" x14ac:dyDescent="0.25">
      <c r="A9" s="8">
        <v>2</v>
      </c>
      <c r="B9" s="8"/>
      <c r="C9" s="8"/>
      <c r="D9" s="8"/>
      <c r="E9" s="8"/>
      <c r="F9" s="8">
        <f>SUMIFS(Levantamento!C8:C27,Levantamento!A8:A27,Levantamento!A12)</f>
        <v>15</v>
      </c>
      <c r="G9" s="8"/>
      <c r="H9" s="8"/>
      <c r="I9" s="8"/>
      <c r="J9" s="8"/>
      <c r="K9" s="8">
        <f>SUMIFS(Levantamento!F8:F27,Levantamento!A8:A27,Levantamento!A12)</f>
        <v>10</v>
      </c>
      <c r="L9" s="8"/>
      <c r="M9" s="8"/>
      <c r="N9" s="8"/>
      <c r="O9" s="8"/>
      <c r="P9" s="8">
        <f>SUMIFS(Levantamento!G8:G27,Levantamento!A8:A27,Levantamento!A16)</f>
        <v>5</v>
      </c>
      <c r="Q9" s="8"/>
      <c r="R9" s="8"/>
      <c r="S9" s="8"/>
      <c r="T9" s="8"/>
      <c r="U9" s="8">
        <f>SUMIFS(Levantamento!H8:H27,Levantamento!A8:A27,Levantamento!A12)</f>
        <v>15</v>
      </c>
      <c r="V9" s="8"/>
      <c r="W9" s="8"/>
      <c r="X9" s="8"/>
      <c r="Y9" s="8"/>
    </row>
    <row r="10" spans="1:29" ht="15" customHeight="1" x14ac:dyDescent="0.25">
      <c r="A10" s="8">
        <v>3</v>
      </c>
      <c r="B10" s="8"/>
      <c r="C10" s="8"/>
      <c r="D10" s="8"/>
      <c r="E10" s="8"/>
      <c r="F10" s="8">
        <f>SUMIFS(Levantamento!C8:C27,Levantamento!A8:A27,Levantamento!A18)</f>
        <v>15</v>
      </c>
      <c r="G10" s="8"/>
      <c r="H10" s="8"/>
      <c r="I10" s="8"/>
      <c r="J10" s="8"/>
      <c r="K10" s="8">
        <f>SUMIFS(Levantamento!F8:F27,Levantamento!A8:A27,Levantamento!A18)</f>
        <v>15</v>
      </c>
      <c r="L10" s="8"/>
      <c r="M10" s="8"/>
      <c r="N10" s="8"/>
      <c r="O10" s="8"/>
      <c r="P10" s="8">
        <f>SUMIFS(Levantamento!G8:G27,Levantamento!A8:A27,Levantamento!A18)</f>
        <v>0</v>
      </c>
      <c r="Q10" s="8"/>
      <c r="R10" s="8"/>
      <c r="S10" s="8"/>
      <c r="T10" s="8"/>
      <c r="U10" s="8">
        <f>SUMIFS(Levantamento!H8:H27,Levantamento!A8:A27,Levantamento!A18)</f>
        <v>15</v>
      </c>
      <c r="V10" s="8"/>
      <c r="W10" s="8"/>
      <c r="X10" s="8"/>
      <c r="Y10" s="8"/>
    </row>
    <row r="11" spans="1:29" ht="15" customHeight="1" x14ac:dyDescent="0.25">
      <c r="A11" s="8">
        <v>4</v>
      </c>
      <c r="B11" s="8"/>
      <c r="C11" s="8"/>
      <c r="D11" s="8"/>
      <c r="E11" s="8"/>
      <c r="F11" s="8">
        <f>SUMIFS(Levantamento!C8:C27,Levantamento!A8:A27,Levantamento!A24)</f>
        <v>10</v>
      </c>
      <c r="G11" s="8"/>
      <c r="H11" s="8"/>
      <c r="I11" s="8"/>
      <c r="J11" s="8"/>
      <c r="K11" s="8">
        <f>SUMIFS(Levantamento!F8:F27,Levantamento!A8:A27,Levantamento!A24)</f>
        <v>5</v>
      </c>
      <c r="L11" s="8"/>
      <c r="M11" s="8"/>
      <c r="N11" s="8"/>
      <c r="O11" s="8"/>
      <c r="P11" s="8">
        <f>SUMIFS(Levantamento!G8:G27,Levantamento!A8:A27,Levantamento!A24)</f>
        <v>5</v>
      </c>
      <c r="Q11" s="8"/>
      <c r="R11" s="8"/>
      <c r="S11" s="8"/>
      <c r="T11" s="8"/>
      <c r="U11" s="8">
        <f>SUMIFS(Levantamento!H8:H27,Levantamento!A8:A27,Levantamento!A24)</f>
        <v>10</v>
      </c>
      <c r="V11" s="8"/>
      <c r="W11" s="8"/>
      <c r="X11" s="8"/>
      <c r="Y11" s="8"/>
    </row>
    <row r="12" spans="1:29" ht="15" customHeight="1" x14ac:dyDescent="0.25">
      <c r="A12" s="7" t="s">
        <v>80</v>
      </c>
      <c r="B12" s="7"/>
      <c r="C12" s="7"/>
      <c r="D12" s="7"/>
      <c r="E12" s="7"/>
      <c r="F12" s="7">
        <f>SUM(F8:J11)</f>
        <v>50</v>
      </c>
      <c r="G12" s="7"/>
      <c r="H12" s="7"/>
      <c r="I12" s="7"/>
      <c r="J12" s="7"/>
      <c r="K12" s="7">
        <f>SUM(K8:O11)</f>
        <v>40</v>
      </c>
      <c r="L12" s="7"/>
      <c r="M12" s="7"/>
      <c r="N12" s="7"/>
      <c r="O12" s="7"/>
      <c r="P12" s="7">
        <f>SUM(P8:T11)</f>
        <v>10</v>
      </c>
      <c r="Q12" s="7"/>
      <c r="R12" s="7"/>
      <c r="S12" s="7"/>
      <c r="T12" s="7"/>
      <c r="U12" s="7">
        <f>SUM(U8:Y11)</f>
        <v>50</v>
      </c>
      <c r="V12" s="7"/>
      <c r="W12" s="7"/>
      <c r="X12" s="7"/>
      <c r="Y12" s="7"/>
    </row>
    <row r="14" spans="1:29" ht="15" customHeight="1" x14ac:dyDescent="0.25">
      <c r="A14" s="10" t="s">
        <v>84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9" ht="15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9" ht="15" customHeight="1" x14ac:dyDescent="0.25">
      <c r="A16" s="9" t="s">
        <v>85</v>
      </c>
      <c r="B16" s="9"/>
      <c r="C16" s="9"/>
      <c r="D16" s="9"/>
      <c r="E16" s="9"/>
      <c r="F16" s="9" t="s">
        <v>20</v>
      </c>
      <c r="G16" s="9"/>
      <c r="H16" s="9"/>
      <c r="I16" s="9"/>
      <c r="J16" s="9"/>
      <c r="K16" s="9" t="s">
        <v>23</v>
      </c>
      <c r="L16" s="9"/>
      <c r="M16" s="9"/>
      <c r="N16" s="9"/>
      <c r="O16" s="9"/>
      <c r="P16" s="9" t="s">
        <v>24</v>
      </c>
      <c r="Q16" s="9"/>
      <c r="R16" s="9"/>
      <c r="S16" s="9"/>
      <c r="T16" s="9"/>
      <c r="U16" s="9" t="s">
        <v>83</v>
      </c>
      <c r="V16" s="9"/>
      <c r="W16" s="9"/>
      <c r="X16" s="9"/>
      <c r="Y16" s="9"/>
    </row>
    <row r="17" spans="1:25" ht="15" customHeight="1" x14ac:dyDescent="0.25">
      <c r="A17" s="8" t="s">
        <v>36</v>
      </c>
      <c r="B17" s="8"/>
      <c r="C17" s="8"/>
      <c r="D17" s="8"/>
      <c r="E17" s="8"/>
      <c r="F17" s="8">
        <f>SUMIFS(Levantamento!C8:C27,Levantamento!K8:K27,Resumo!A17)</f>
        <v>10</v>
      </c>
      <c r="G17" s="8"/>
      <c r="H17" s="8"/>
      <c r="I17" s="8"/>
      <c r="J17" s="8"/>
      <c r="K17" s="8">
        <f>SUMIFS(Levantamento!F8:F27,Levantamento!K8:K27,Resumo!A17)</f>
        <v>10</v>
      </c>
      <c r="L17" s="8"/>
      <c r="M17" s="8"/>
      <c r="N17" s="8"/>
      <c r="O17" s="8"/>
      <c r="P17" s="8">
        <f>SUMIFS(Levantamento!G8:G27,Levantamento!K8:K27,Resumo!A17)</f>
        <v>0</v>
      </c>
      <c r="Q17" s="8"/>
      <c r="R17" s="8"/>
      <c r="S17" s="8"/>
      <c r="T17" s="8"/>
      <c r="U17" s="8">
        <f>SUMIFS(Levantamento!H8:H27,Levantamento!K8:K27,Resumo!A17)</f>
        <v>10</v>
      </c>
      <c r="V17" s="8"/>
      <c r="W17" s="8"/>
      <c r="X17" s="8"/>
      <c r="Y17" s="8"/>
    </row>
    <row r="18" spans="1:25" ht="15" customHeight="1" x14ac:dyDescent="0.25">
      <c r="A18" s="8" t="s">
        <v>47</v>
      </c>
      <c r="B18" s="8"/>
      <c r="C18" s="8"/>
      <c r="D18" s="8"/>
      <c r="E18" s="8"/>
      <c r="F18" s="8">
        <f>SUMIFS(Levantamento!C8:C27,Levantamento!K8:K27,Resumo!A18)</f>
        <v>20</v>
      </c>
      <c r="G18" s="8"/>
      <c r="H18" s="8"/>
      <c r="I18" s="8"/>
      <c r="J18" s="8"/>
      <c r="K18" s="8">
        <f>SUMIFS(Levantamento!F8:F27,Levantamento!K8:K27,Resumo!A18)</f>
        <v>11</v>
      </c>
      <c r="L18" s="8"/>
      <c r="M18" s="8"/>
      <c r="N18" s="8"/>
      <c r="O18" s="8"/>
      <c r="P18" s="8">
        <f>SUMIFS(Levantamento!G8:G27,Levantamento!K8:K27,Resumo!A18)</f>
        <v>9</v>
      </c>
      <c r="Q18" s="8"/>
      <c r="R18" s="8"/>
      <c r="S18" s="8"/>
      <c r="T18" s="8"/>
      <c r="U18" s="8">
        <f>SUMIFS(Levantamento!H8:H27,Levantamento!K8:K27,Resumo!A18)</f>
        <v>20</v>
      </c>
      <c r="V18" s="8"/>
      <c r="W18" s="8"/>
      <c r="X18" s="8"/>
      <c r="Y18" s="8"/>
    </row>
    <row r="19" spans="1:25" ht="15" customHeight="1" x14ac:dyDescent="0.25">
      <c r="A19" s="8" t="s">
        <v>62</v>
      </c>
      <c r="B19" s="8"/>
      <c r="C19" s="8"/>
      <c r="D19" s="8"/>
      <c r="E19" s="8"/>
      <c r="F19" s="8">
        <f>SUMIFS(Levantamento!C8:C27,Levantamento!K8:K27,Resumo!A19)</f>
        <v>20</v>
      </c>
      <c r="G19" s="8"/>
      <c r="H19" s="8"/>
      <c r="I19" s="8"/>
      <c r="J19" s="8"/>
      <c r="K19" s="8">
        <f>SUMIFS(Levantamento!F8:F27,Levantamento!K8:K27,Resumo!A19)</f>
        <v>19</v>
      </c>
      <c r="L19" s="8"/>
      <c r="M19" s="8"/>
      <c r="N19" s="8"/>
      <c r="O19" s="8"/>
      <c r="P19" s="8">
        <f>SUMIFS(Levantamento!G8:G27,Levantamento!K8:K27,Resumo!A19)</f>
        <v>1</v>
      </c>
      <c r="Q19" s="8"/>
      <c r="R19" s="8"/>
      <c r="S19" s="8"/>
      <c r="T19" s="8"/>
      <c r="U19" s="8">
        <f>SUMIFS(Levantamento!H8:H27,Levantamento!K8:K27,Resumo!A19)</f>
        <v>20</v>
      </c>
      <c r="V19" s="8"/>
      <c r="W19" s="8"/>
      <c r="X19" s="8"/>
      <c r="Y19" s="8"/>
    </row>
    <row r="20" spans="1:25" ht="15" customHeight="1" x14ac:dyDescent="0.25">
      <c r="A20" s="7" t="s">
        <v>80</v>
      </c>
      <c r="B20" s="7"/>
      <c r="C20" s="7"/>
      <c r="D20" s="7"/>
      <c r="E20" s="7"/>
      <c r="F20" s="7">
        <f>SUM(F17:J19)</f>
        <v>50</v>
      </c>
      <c r="G20" s="7"/>
      <c r="H20" s="7"/>
      <c r="I20" s="7"/>
      <c r="J20" s="7"/>
      <c r="K20" s="7">
        <f>SUM(K17:O19)</f>
        <v>40</v>
      </c>
      <c r="L20" s="7"/>
      <c r="M20" s="7"/>
      <c r="N20" s="7"/>
      <c r="O20" s="7"/>
      <c r="P20" s="7">
        <f>SUM(P17:T19)</f>
        <v>10</v>
      </c>
      <c r="Q20" s="7"/>
      <c r="R20" s="7"/>
      <c r="S20" s="7"/>
      <c r="T20" s="7"/>
      <c r="U20" s="7">
        <f>SUM(U17:Y19)</f>
        <v>50</v>
      </c>
      <c r="V20" s="7"/>
      <c r="W20" s="7"/>
      <c r="X20" s="7"/>
      <c r="Y20" s="7"/>
    </row>
  </sheetData>
  <mergeCells count="58">
    <mergeCell ref="A20:E20"/>
    <mergeCell ref="F20:J20"/>
    <mergeCell ref="K20:O20"/>
    <mergeCell ref="P20:T20"/>
    <mergeCell ref="U20:Y20"/>
    <mergeCell ref="A19:E19"/>
    <mergeCell ref="F19:J19"/>
    <mergeCell ref="K19:O19"/>
    <mergeCell ref="P19:T19"/>
    <mergeCell ref="U19:Y19"/>
    <mergeCell ref="A18:E18"/>
    <mergeCell ref="F18:J18"/>
    <mergeCell ref="K18:O18"/>
    <mergeCell ref="P18:T18"/>
    <mergeCell ref="U18:Y18"/>
    <mergeCell ref="A17:E17"/>
    <mergeCell ref="F17:J17"/>
    <mergeCell ref="K17:O17"/>
    <mergeCell ref="P17:T17"/>
    <mergeCell ref="U17:Y17"/>
    <mergeCell ref="A14:Y15"/>
    <mergeCell ref="A16:E16"/>
    <mergeCell ref="F16:J16"/>
    <mergeCell ref="K16:O16"/>
    <mergeCell ref="P16:T16"/>
    <mergeCell ref="U16:Y16"/>
    <mergeCell ref="A12:E12"/>
    <mergeCell ref="F12:J12"/>
    <mergeCell ref="K12:O12"/>
    <mergeCell ref="P12:T12"/>
    <mergeCell ref="U12:Y12"/>
    <mergeCell ref="A11:E11"/>
    <mergeCell ref="F11:J11"/>
    <mergeCell ref="K11:O11"/>
    <mergeCell ref="P11:T11"/>
    <mergeCell ref="U11:Y11"/>
    <mergeCell ref="A10:E10"/>
    <mergeCell ref="F10:J10"/>
    <mergeCell ref="K10:O10"/>
    <mergeCell ref="P10:T10"/>
    <mergeCell ref="U10:Y10"/>
    <mergeCell ref="A9:E9"/>
    <mergeCell ref="F9:J9"/>
    <mergeCell ref="K9:O9"/>
    <mergeCell ref="P9:T9"/>
    <mergeCell ref="U9:Y9"/>
    <mergeCell ref="A8:E8"/>
    <mergeCell ref="F8:J8"/>
    <mergeCell ref="K8:O8"/>
    <mergeCell ref="P8:T8"/>
    <mergeCell ref="U8:Y8"/>
    <mergeCell ref="A1:Y3"/>
    <mergeCell ref="A5:Y6"/>
    <mergeCell ref="A7:E7"/>
    <mergeCell ref="F7:J7"/>
    <mergeCell ref="K7:O7"/>
    <mergeCell ref="P7:T7"/>
    <mergeCell ref="U7:Y7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Empresa</vt:lpstr>
      <vt:lpstr>Levantamento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Luiz Felipe Carvalho Leite</dc:creator>
  <dc:description/>
  <cp:lastModifiedBy>Luiz Felipe Carvalho Leite</cp:lastModifiedBy>
  <cp:revision>0</cp:revision>
  <dcterms:created xsi:type="dcterms:W3CDTF">2026-09-30T18:46:40Z</dcterms:created>
  <dcterms:modified xsi:type="dcterms:W3CDTF">2026-10-16T10:58:20Z</dcterms:modified>
  <dc:language>en-US</dc:language>
</cp:coreProperties>
</file>